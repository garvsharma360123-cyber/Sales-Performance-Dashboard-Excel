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9600C5A1-184C-4218-8E2A-012AD23D51BE}" xr6:coauthVersionLast="47" xr6:coauthVersionMax="47" xr10:uidLastSave="{00000000-0000-0000-0000-000000000000}"/>
  <bookViews>
    <workbookView xWindow="-110" yWindow="-110" windowWidth="19420" windowHeight="10420" activeTab="2" xr2:uid="{96FBEA26-7514-4503-B723-2332EAFB2030}"/>
  </bookViews>
  <sheets>
    <sheet name="Data" sheetId="2" r:id="rId1"/>
    <sheet name="Tables" sheetId="6" r:id="rId2"/>
    <sheet name="Past Data Visualisec" sheetId="3" r:id="rId3"/>
  </sheets>
  <definedNames>
    <definedName name="ExternalData_1" localSheetId="0" hidden="1">Data!$A$9:$J$60</definedName>
    <definedName name="NativeTimeline_Date">#N/A</definedName>
    <definedName name="Slicer_Discount_Pct">#N/A</definedName>
    <definedName name="Slicer_Product">#N/A</definedName>
    <definedName name="Slicer_Region">#N/A</definedName>
    <definedName name="Slicer_Segment">#N/A</definedName>
    <definedName name="Slicer_Status">#N/A</definedName>
    <definedName name="solver_eng" localSheetId="1" hidden="1">1</definedName>
    <definedName name="solver_neg" localSheetId="1" hidden="1">1</definedName>
    <definedName name="solver_num" localSheetId="1" hidden="1">0</definedName>
    <definedName name="solver_opt" localSheetId="1" hidden="1">Tables!$I$9</definedName>
    <definedName name="solver_typ" localSheetId="1" hidden="1">1</definedName>
    <definedName name="solver_val" localSheetId="1" hidden="1">0</definedName>
    <definedName name="solver_ver" localSheetId="1" hidden="1">3</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6" i="2" l="1"/>
  <c r="L11" i="2"/>
  <c r="L52" i="2"/>
  <c r="L47" i="2"/>
  <c r="L54" i="2"/>
  <c r="L48" i="2"/>
  <c r="L27" i="2"/>
  <c r="L37" i="2"/>
  <c r="L12" i="2"/>
  <c r="L32" i="2"/>
  <c r="L17" i="2"/>
  <c r="L10" i="2"/>
  <c r="L16" i="2"/>
  <c r="L23" i="2"/>
  <c r="L58" i="2"/>
  <c r="L14" i="2"/>
  <c r="L35" i="2"/>
  <c r="L50" i="2"/>
  <c r="L15" i="2"/>
  <c r="L49" i="2"/>
  <c r="L25" i="2"/>
  <c r="L33" i="2"/>
  <c r="L26" i="2"/>
  <c r="L20" i="2"/>
  <c r="L13" i="2"/>
  <c r="L53" i="2"/>
  <c r="L43" i="2"/>
  <c r="L29" i="2"/>
  <c r="L18" i="2"/>
  <c r="L45" i="2"/>
  <c r="L42" i="2"/>
  <c r="L19" i="2"/>
  <c r="L22" i="2"/>
  <c r="L46" i="2"/>
  <c r="L36" i="2"/>
  <c r="L34" i="2"/>
  <c r="L21" i="2"/>
  <c r="L44" i="2"/>
  <c r="L30" i="2"/>
  <c r="L59" i="2"/>
  <c r="L40" i="2"/>
  <c r="L38" i="2"/>
  <c r="L55" i="2"/>
  <c r="L51" i="2"/>
  <c r="L57" i="2"/>
  <c r="L28" i="2"/>
  <c r="L24" i="2"/>
  <c r="L41" i="2"/>
  <c r="L31" i="2"/>
  <c r="L39" i="2"/>
  <c r="K31" i="2"/>
  <c r="B6" i="2" a="1"/>
  <c r="B6" i="2" s="1"/>
  <c r="I60" i="2"/>
  <c r="K33" i="2"/>
  <c r="K24" i="2"/>
  <c r="K45" i="2"/>
  <c r="K12" i="2"/>
  <c r="K30" i="2"/>
  <c r="K34" i="2"/>
  <c r="K50" i="2"/>
  <c r="K26" i="2"/>
  <c r="K29" i="2"/>
  <c r="K39" i="2"/>
  <c r="K35" i="2"/>
  <c r="K38" i="2"/>
  <c r="K56" i="2"/>
  <c r="K48" i="2"/>
  <c r="K40" i="2"/>
  <c r="K14" i="2"/>
  <c r="K55" i="2"/>
  <c r="K52" i="2"/>
  <c r="K17" i="2"/>
  <c r="K23" i="2"/>
  <c r="K42" i="2"/>
  <c r="K44" i="2"/>
  <c r="K46" i="2"/>
  <c r="K43" i="2"/>
  <c r="K19" i="2"/>
  <c r="K22" i="2"/>
  <c r="K54" i="2"/>
  <c r="K36" i="2"/>
  <c r="K37" i="2"/>
  <c r="K13" i="2"/>
  <c r="K41" i="2"/>
  <c r="K27" i="2"/>
  <c r="K11" i="2"/>
  <c r="K53" i="2"/>
  <c r="K59" i="2"/>
  <c r="K20" i="2"/>
  <c r="K28" i="2"/>
  <c r="K58" i="2"/>
  <c r="K15" i="2"/>
  <c r="K49" i="2"/>
  <c r="K25" i="2"/>
  <c r="K18" i="2"/>
  <c r="K10" i="2"/>
  <c r="K21" i="2"/>
  <c r="K32" i="2"/>
  <c r="K57" i="2"/>
  <c r="K47" i="2"/>
  <c r="K51" i="2"/>
  <c r="K16" i="2"/>
  <c r="G60" i="2"/>
  <c r="F60" i="2"/>
  <c r="K60" i="2" l="1"/>
  <c r="L6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E12BA4-30F4-458F-A7D0-F9D8D5DC12F4}"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<sst xmlns="http://schemas.openxmlformats.org/spreadsheetml/2006/main" count="339" uniqueCount="107">
  <si>
    <t>Order_ID</t>
  </si>
  <si>
    <t>Date</t>
  </si>
  <si>
    <t>Region</t>
  </si>
  <si>
    <t>Segment</t>
  </si>
  <si>
    <t>Product</t>
  </si>
  <si>
    <t>Units</t>
  </si>
  <si>
    <t>Unit_Price</t>
  </si>
  <si>
    <t>Discount_Pct</t>
  </si>
  <si>
    <t>Shipping_Fee</t>
  </si>
  <si>
    <t>Status</t>
  </si>
  <si>
    <t>ASX-1000</t>
  </si>
  <si>
    <t>EMEA</t>
  </si>
  <si>
    <t>Consumer</t>
  </si>
  <si>
    <t>Macro Deck</t>
  </si>
  <si>
    <t>Shipped</t>
  </si>
  <si>
    <t>ASX-1001</t>
  </si>
  <si>
    <t>Corporate</t>
  </si>
  <si>
    <t>Capture Card</t>
  </si>
  <si>
    <t>ASX-1002</t>
  </si>
  <si>
    <t>Education</t>
  </si>
  <si>
    <t>LED Panel</t>
  </si>
  <si>
    <t>ASX-1003</t>
  </si>
  <si>
    <t>LATAM</t>
  </si>
  <si>
    <t>ASX-1004</t>
  </si>
  <si>
    <t>ASX-1005</t>
  </si>
  <si>
    <t>APAC</t>
  </si>
  <si>
    <t>X-100 Mic</t>
  </si>
  <si>
    <t>ASX-1006</t>
  </si>
  <si>
    <t>Cancelled</t>
  </si>
  <si>
    <t>ASX-1007</t>
  </si>
  <si>
    <t>ASX-1008</t>
  </si>
  <si>
    <t>4K Webcam</t>
  </si>
  <si>
    <t>ASX-1009</t>
  </si>
  <si>
    <t>ASX-1010</t>
  </si>
  <si>
    <t>ASX-1011</t>
  </si>
  <si>
    <t>ASX-1012</t>
  </si>
  <si>
    <t>North America</t>
  </si>
  <si>
    <t>ASX-1013</t>
  </si>
  <si>
    <t>Returned</t>
  </si>
  <si>
    <t>ASX-1014</t>
  </si>
  <si>
    <t>ASX-1015</t>
  </si>
  <si>
    <t>ASX-1016</t>
  </si>
  <si>
    <t>ASX-1017</t>
  </si>
  <si>
    <t>ASX-1018</t>
  </si>
  <si>
    <t>ASX-1019</t>
  </si>
  <si>
    <t>ASX-1020</t>
  </si>
  <si>
    <t>ASX-1021</t>
  </si>
  <si>
    <t>ASX-1022</t>
  </si>
  <si>
    <t>ASX-1023</t>
  </si>
  <si>
    <t>ASX-1024</t>
  </si>
  <si>
    <t>ASX-1025</t>
  </si>
  <si>
    <t>ASX-1026</t>
  </si>
  <si>
    <t>ASX-1027</t>
  </si>
  <si>
    <t>ASX-1028</t>
  </si>
  <si>
    <t>ASX-1029</t>
  </si>
  <si>
    <t>ASX-1030</t>
  </si>
  <si>
    <t>ASX-1031</t>
  </si>
  <si>
    <t>ASX-1032</t>
  </si>
  <si>
    <t>ASX-1033</t>
  </si>
  <si>
    <t>ASX-1034</t>
  </si>
  <si>
    <t>ASX-1035</t>
  </si>
  <si>
    <t>ASX-1036</t>
  </si>
  <si>
    <t>ASX-1037</t>
  </si>
  <si>
    <t>ASX-1038</t>
  </si>
  <si>
    <t>ASX-1039</t>
  </si>
  <si>
    <t>ASX-1040</t>
  </si>
  <si>
    <t>ASX-1041</t>
  </si>
  <si>
    <t>ASX-1042</t>
  </si>
  <si>
    <t>ASX-1043</t>
  </si>
  <si>
    <t>ASX-1044</t>
  </si>
  <si>
    <t>ASX-1045</t>
  </si>
  <si>
    <t>ASX-1046</t>
  </si>
  <si>
    <t>ASX-1047</t>
  </si>
  <si>
    <t>ASX-1048</t>
  </si>
  <si>
    <t>ASX-1049</t>
  </si>
  <si>
    <t>Sales</t>
  </si>
  <si>
    <t>Total</t>
  </si>
  <si>
    <t xml:space="preserve">Revenue Loss Due To Returns </t>
  </si>
  <si>
    <t>Order_ID-</t>
  </si>
  <si>
    <t xml:space="preserve">Enter Oder_ID For Specific Data </t>
  </si>
  <si>
    <t xml:space="preserve">              Sales Data</t>
  </si>
  <si>
    <t>Grand Total</t>
  </si>
  <si>
    <t>Sum of Sales</t>
  </si>
  <si>
    <t>Segment-</t>
  </si>
  <si>
    <t>Average of Unit_Price</t>
  </si>
  <si>
    <t>Average Unit Price</t>
  </si>
  <si>
    <t>Average Sale Value</t>
  </si>
  <si>
    <t>Average of Shipping_Fee</t>
  </si>
  <si>
    <t xml:space="preserve">Sum of Revenue Loss Due To Returns/Cancelled </t>
  </si>
  <si>
    <t>2025</t>
  </si>
  <si>
    <t>2026</t>
  </si>
  <si>
    <t>Jan</t>
  </si>
  <si>
    <t>Feb</t>
  </si>
  <si>
    <t>Jun</t>
  </si>
  <si>
    <t>Jul</t>
  </si>
  <si>
    <t>Aug</t>
  </si>
  <si>
    <t>Sep</t>
  </si>
  <si>
    <t>Oct</t>
  </si>
  <si>
    <t>Nov</t>
  </si>
  <si>
    <t>Dec</t>
  </si>
  <si>
    <t/>
  </si>
  <si>
    <t>Average of Sales</t>
  </si>
  <si>
    <t>Average of Units</t>
  </si>
  <si>
    <t>Qtr2</t>
  </si>
  <si>
    <t>Qtr3</t>
  </si>
  <si>
    <t>Qtr4</t>
  </si>
  <si>
    <t>Qtr1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</si>
</sst>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6"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6"/>
      <color theme="0"/>
      <name val="Calibri"/>
      <family val="2"/>
      <scheme val="minor"/>
    </font>
    <font>
      <sz val="8"/>
      <name val="Calibri"/>
      <family val="2"/>
      <scheme val="minor"/>
    </font>
  </fonts>
  <fills count="11">
    <fill>
      <patternFill patternType="none"/>
    </fill>
    <fill>
      <patternFill patternType="gray125"/>
    </fill>
    <fill>
      <patternFill patternType="solid">
        <fgColor theme="1"/>
        <bgColor theme="1"/>
      </patternFill>
    </fill>
    <fill>
      <patternFill patternType="solid">
        <fgColor theme="0" tint="-0.34998626667073579"/>
        <bgColor theme="0" tint="-0.34998626667073579"/>
      </patternFill>
    </fill>
    <fill>
      <patternFill patternType="solid">
        <fgColor theme="1"/>
        <bgColor indexed="64"/>
      </patternFill>
    </fill>
    <fill>
      <patternFill patternType="solid">
        <fgColor theme="0"/>
        <bgColor indexed="64"/>
      </patternFill>
    </fill>
    <fill>
      <patternFill patternType="solid">
        <fgColor theme="2" tint="-0.249977111117893"/>
        <bgColor indexed="64"/>
      </patternFill>
    </fill>
    <fill>
      <patternFill patternType="solid">
        <fgColor theme="1"/>
        <bgColor theme="0" tint="-0.34998626667073579"/>
      </patternFill>
    </fill>
    <fill>
      <patternFill patternType="solid">
        <fgColor theme="4" tint="0.39997558519241921"/>
        <bgColor indexed="64"/>
      </patternFill>
    </fill>
    <fill>
      <patternFill patternType="solid">
        <fgColor theme="3" tint="0.39997558519241921"/>
        <bgColor indexed="64"/>
      </patternFill>
    </fill>
    <fill>
      <patternFill patternType="solid">
        <fgColor theme="4" tint="-0.249977111117893"/>
        <bgColor indexed="64"/>
      </patternFill>
    </fill>
  </fills>
  <borders count="4">
    <border>
      <left/>
      <right/>
      <top/>
      <bottom/>
      <diagonal/>
    </border>
    <border>
      <left style="thin">
        <color theme="0"/>
      </left>
      <right style="thin">
        <color theme="0"/>
      </right>
      <top/>
      <bottom style="thick">
        <color theme="0"/>
      </bottom>
      <diagonal/>
    </border>
    <border>
      <left/>
      <right style="thin">
        <color theme="0"/>
      </right>
      <top style="thin">
        <color theme="0"/>
      </top>
      <bottom/>
      <diagonal/>
    </border>
    <border>
      <left/>
      <right/>
      <top style="thin">
        <color indexed="64"/>
      </top>
      <bottom style="double">
        <color indexed="64"/>
      </bottom>
      <diagonal/>
    </border>
  </borders>
  <cellStyleXfs count="1">
    <xf numFmtId="0" fontId="0" fillId="0" borderId="0"/>
  </cellStyleXfs>
  <cellXfs count="34">
    <xf numFmtId="0" fontId="0" fillId="0" borderId="0" xfId="0"/>
    <xf numFmtId="14" fontId="0" fillId="0" borderId="0" xfId="0" applyNumberFormat="1"/>
    <xf numFmtId="0" fontId="1" fillId="2" borderId="1" xfId="0" applyFont="1" applyFill="1" applyBorder="1"/>
    <xf numFmtId="0" fontId="0" fillId="4" borderId="0" xfId="0" applyFill="1"/>
    <xf numFmtId="0" fontId="0" fillId="5" borderId="0" xfId="0" applyFill="1"/>
    <xf numFmtId="0" fontId="0" fillId="0" borderId="3" xfId="0" applyBorder="1"/>
    <xf numFmtId="14" fontId="0" fillId="0" borderId="3" xfId="0" applyNumberFormat="1" applyBorder="1"/>
    <xf numFmtId="2" fontId="0" fillId="5" borderId="0" xfId="0" applyNumberFormat="1" applyFill="1"/>
    <xf numFmtId="2" fontId="0" fillId="0" borderId="0" xfId="0" applyNumberFormat="1"/>
    <xf numFmtId="2" fontId="0" fillId="0" borderId="3" xfId="0" applyNumberFormat="1" applyBorder="1"/>
    <xf numFmtId="9" fontId="0" fillId="0" borderId="0" xfId="0" applyNumberFormat="1"/>
    <xf numFmtId="9" fontId="0" fillId="0" borderId="3" xfId="0" applyNumberFormat="1" applyBorder="1"/>
    <xf numFmtId="2" fontId="3" fillId="6" borderId="3" xfId="0" applyNumberFormat="1" applyFont="1" applyFill="1" applyBorder="1"/>
    <xf numFmtId="14" fontId="1" fillId="2" borderId="1" xfId="0" applyNumberFormat="1" applyFont="1" applyFill="1" applyBorder="1"/>
    <xf numFmtId="9" fontId="1" fillId="2" borderId="1" xfId="0" applyNumberFormat="1" applyFont="1" applyFill="1" applyBorder="1"/>
    <xf numFmtId="2" fontId="1" fillId="2" borderId="1" xfId="0" applyNumberFormat="1" applyFont="1" applyFill="1" applyBorder="1"/>
    <xf numFmtId="0" fontId="2" fillId="4" borderId="0" xfId="0" applyFont="1" applyFill="1"/>
    <xf numFmtId="14" fontId="0" fillId="5" borderId="0" xfId="0" applyNumberFormat="1" applyFill="1"/>
    <xf numFmtId="9" fontId="0" fillId="5" borderId="0" xfId="0" applyNumberFormat="1" applyFill="1"/>
    <xf numFmtId="0" fontId="0" fillId="3" borderId="2" xfId="0" applyFill="1" applyBorder="1"/>
    <xf numFmtId="0" fontId="0" fillId="7" borderId="0" xfId="0" applyFill="1"/>
    <xf numFmtId="0" fontId="4" fillId="4" borderId="0" xfId="0" applyFont="1" applyFill="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10" borderId="0" xfId="0" applyFill="1"/>
    <xf numFmtId="0" fontId="0" fillId="8" borderId="0" xfId="0" applyFill="1" applyAlignment="1">
      <alignment horizontal="center" vertical="center"/>
    </xf>
    <xf numFmtId="0" fontId="0" fillId="9" borderId="0" xfId="0" applyFill="1" applyAlignment="1">
      <alignment horizontal="center" vertical="center"/>
    </xf>
    <xf numFmtId="0" fontId="0" fillId="6" borderId="0" xfId="0" applyFill="1" applyAlignment="1">
      <alignment horizontal="center" vertical="center"/>
    </xf>
    <xf numFmtId="0" fontId="0" fillId="0" borderId="0" xfId="0" applyAlignment="1">
      <alignment horizontal="left" indent="1"/>
    </xf>
    <xf numFmtId="164" fontId="0" fillId="0" borderId="0" xfId="0" applyNumberFormat="1" applyAlignment="1">
      <alignment horizontal="right" vertical="center"/>
    </xf>
    <xf numFmtId="164" fontId="0" fillId="5" borderId="0" xfId="0" applyNumberFormat="1" applyFill="1"/>
    <xf numFmtId="164" fontId="0" fillId="0" borderId="0" xfId="0" applyNumberFormat="1"/>
    <xf numFmtId="2" fontId="0" fillId="4" borderId="0" xfId="0" applyNumberFormat="1" applyFill="1"/>
  </cellXfs>
  <cellStyles count="1">
    <cellStyle name="Normal" xfId="0" builtinId="0"/>
  </cellStyles>
  <dxfs count="37">
    <dxf>
      <fill>
        <patternFill>
          <bgColor theme="4" tint="0.39994506668294322"/>
        </patternFill>
      </fill>
    </dxf>
    <dxf>
      <fill>
        <patternFill>
          <bgColor theme="4" tint="0.39994506668294322"/>
        </patternFill>
      </fill>
    </dxf>
    <dxf>
      <fill>
        <patternFill>
          <bgColor theme="4" tint="0.39994506668294322"/>
        </patternFill>
      </fill>
    </dxf>
    <dxf>
      <fill>
        <patternFill>
          <bgColor theme="2" tint="-0.249977111117893"/>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3" tint="0.39997558519241921"/>
        </patternFill>
      </fill>
    </dxf>
    <dxf>
      <fill>
        <patternFill patternType="solid">
          <bgColor theme="4" tint="0.39997558519241921"/>
        </patternFill>
      </fill>
    </dxf>
    <dxf>
      <fill>
        <patternFill patternType="solid">
          <bgColor theme="4" tint="0.59999389629810485"/>
        </patternFill>
      </fill>
    </dxf>
    <dxf>
      <fill>
        <patternFill patternType="solid">
          <bgColor theme="2" tint="-0.249977111117893"/>
        </patternFill>
      </fill>
    </dxf>
    <dxf>
      <alignment horizontal="center"/>
    </dxf>
    <dxf>
      <alignment vertical="center"/>
    </dxf>
    <dxf>
      <fill>
        <patternFill patternType="solid">
          <bgColor theme="4" tint="0.39997558519241921"/>
        </patternFill>
      </fill>
    </dxf>
    <dxf>
      <fill>
        <patternFill patternType="solid">
          <bgColor theme="3" tint="-0.249977111117893"/>
        </patternFill>
      </fill>
    </dxf>
    <dxf>
      <fill>
        <patternFill patternType="solid">
          <bgColor theme="2" tint="-0.499984740745262"/>
        </patternFill>
      </fill>
    </dxf>
    <dxf>
      <alignment horizontal="center" vertical="center"/>
    </dxf>
    <dxf>
      <alignment horizontal="center" vertical="center"/>
    </dxf>
    <dxf>
      <alignment horizontal="center"/>
    </dxf>
    <dxf>
      <alignment vertical="center"/>
    </dxf>
    <dxf>
      <alignment horizontal="center"/>
    </dxf>
    <dxf>
      <alignment vertical="center"/>
    </dxf>
    <dxf>
      <numFmt numFmtId="2" formatCode="0.00"/>
    </dxf>
    <dxf>
      <numFmt numFmtId="2" formatCode="0.00"/>
    </dxf>
    <dxf>
      <numFmt numFmtId="0" formatCode="General"/>
    </dxf>
    <dxf>
      <numFmt numFmtId="2" formatCode="0.00"/>
    </dxf>
    <dxf>
      <numFmt numFmtId="13" formatCode="0%"/>
    </dxf>
    <dxf>
      <numFmt numFmtId="0" formatCode="General"/>
    </dxf>
    <dxf>
      <numFmt numFmtId="0" formatCode="General"/>
    </dxf>
    <dxf>
      <numFmt numFmtId="0" formatCode="General"/>
    </dxf>
    <dxf>
      <numFmt numFmtId="19" formatCode="dd/mm/yyyy"/>
    </dxf>
    <dxf>
      <numFmt numFmtId="0" formatCode="General"/>
    </dxf>
    <dxf>
      <font>
        <b/>
        <sz val="11"/>
        <color theme="1"/>
      </font>
      <border>
        <vertical/>
        <horizontal/>
      </border>
    </dxf>
    <dxf>
      <font>
        <b val="0"/>
        <i val="0"/>
        <sz val="28"/>
        <color theme="1"/>
        <name val="Calibri Light"/>
        <family val="2"/>
        <scheme val="maj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20"/>
        <color theme="1"/>
      </font>
      <border>
        <left style="thin">
          <color theme="4"/>
        </left>
        <right style="thin">
          <color theme="4"/>
        </right>
        <top style="thin">
          <color theme="4"/>
        </top>
        <bottom style="thin">
          <color theme="4"/>
        </bottom>
        <vertical/>
        <horizontal/>
      </border>
    </dxf>
    <dxf>
      <font>
        <b val="0"/>
        <i val="0"/>
        <sz val="20"/>
        <name val="Calibri Light"/>
        <family val="2"/>
        <scheme val="major"/>
      </font>
    </dxf>
  </dxfs>
  <tableStyles count="3" defaultTableStyle="TableStyleMedium2" defaultPivotStyle="PivotStyleLight16">
    <tableStyle name="Bigger Font " pivot="0" table="0" count="1" xr9:uid="{C80D1970-9C3D-41A5-B85D-AE8D42A65FE8}">
      <tableStyleElement type="wholeTable" dxfId="36"/>
    </tableStyle>
    <tableStyle name="SlicerStyleLight1 2" pivot="0" table="0" count="10" xr9:uid="{24C50FD1-C7E2-4A95-B864-0D79198CC5E7}">
      <tableStyleElement type="wholeTable" dxfId="35"/>
      <tableStyleElement type="headerRow" dxfId="34"/>
    </tableStyle>
    <tableStyle name="TimeSlicerStyleDark1 2" pivot="0" table="0" count="9" xr9:uid="{51BB0F0A-4A6B-4E64-9D36-C9F5F6ED8920}">
      <tableStyleElement type="wholeTable" dxfId="33"/>
      <tableStyleElement type="headerRow" dxfId="3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igger Font "/>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b val="0"/>
            <i val="0"/>
            <sz val="24"/>
            <color theme="1" tint="0.499984740745262"/>
            <name val="Calibri Light"/>
            <family val="2"/>
            <scheme val="major"/>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Dark1 2">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sheetMetadata" Target="metadata.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Completed.xlsx]Tables!PivotTable6</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Sale Price and Simple Aveage of Unit Price</a:t>
            </a:r>
          </a:p>
        </c:rich>
      </c:tx>
      <c:layout>
        <c:manualLayout>
          <c:xMode val="edge"/>
          <c:yMode val="edge"/>
          <c:x val="0.18740066799204075"/>
          <c:y val="0.1175289344103109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Tables!$B$17</c:f>
              <c:strCache>
                <c:ptCount val="1"/>
                <c:pt idx="0">
                  <c:v>Average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Tables!$A$18:$A$24</c:f>
              <c:multiLvlStrCache>
                <c:ptCount val="4"/>
                <c:lvl>
                  <c:pt idx="0">
                    <c:v>Qtr2</c:v>
                  </c:pt>
                  <c:pt idx="1">
                    <c:v>Qtr3</c:v>
                  </c:pt>
                  <c:pt idx="2">
                    <c:v>Qtr4</c:v>
                  </c:pt>
                  <c:pt idx="3">
                    <c:v>Qtr1</c:v>
                  </c:pt>
                </c:lvl>
                <c:lvl>
                  <c:pt idx="0">
                    <c:v>2025</c:v>
                  </c:pt>
                  <c:pt idx="3">
                    <c:v>2026</c:v>
                  </c:pt>
                </c:lvl>
              </c:multiLvlStrCache>
            </c:multiLvlStrRef>
          </c:cat>
          <c:val>
            <c:numRef>
              <c:f>Tables!$B$18:$B$24</c:f>
              <c:numCache>
                <c:formatCode>General</c:formatCode>
                <c:ptCount val="4"/>
                <c:pt idx="0">
                  <c:v>1253.3380000000002</c:v>
                </c:pt>
                <c:pt idx="1">
                  <c:v>534.5625</c:v>
                </c:pt>
                <c:pt idx="2">
                  <c:v>1001.2455000000001</c:v>
                </c:pt>
                <c:pt idx="3">
                  <c:v>301.34679999999997</c:v>
                </c:pt>
              </c:numCache>
            </c:numRef>
          </c:val>
          <c:extLst>
            <c:ext xmlns:c16="http://schemas.microsoft.com/office/drawing/2014/chart" uri="{C3380CC4-5D6E-409C-BE32-E72D297353CC}">
              <c16:uniqueId val="{00000000-3DD2-4CF7-8504-E9107FA182FF}"/>
            </c:ext>
          </c:extLst>
        </c:ser>
        <c:ser>
          <c:idx val="1"/>
          <c:order val="1"/>
          <c:tx>
            <c:strRef>
              <c:f>Tables!$C$17</c:f>
              <c:strCache>
                <c:ptCount val="1"/>
                <c:pt idx="0">
                  <c:v>Average of Unit_Price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Tables!$A$18:$A$24</c:f>
              <c:multiLvlStrCache>
                <c:ptCount val="4"/>
                <c:lvl>
                  <c:pt idx="0">
                    <c:v>Qtr2</c:v>
                  </c:pt>
                  <c:pt idx="1">
                    <c:v>Qtr3</c:v>
                  </c:pt>
                  <c:pt idx="2">
                    <c:v>Qtr4</c:v>
                  </c:pt>
                  <c:pt idx="3">
                    <c:v>Qtr1</c:v>
                  </c:pt>
                </c:lvl>
                <c:lvl>
                  <c:pt idx="0">
                    <c:v>2025</c:v>
                  </c:pt>
                  <c:pt idx="3">
                    <c:v>2026</c:v>
                  </c:pt>
                </c:lvl>
              </c:multiLvlStrCache>
            </c:multiLvlStrRef>
          </c:cat>
          <c:val>
            <c:numRef>
              <c:f>Tables!$C$18:$C$24</c:f>
              <c:numCache>
                <c:formatCode>General</c:formatCode>
                <c:ptCount val="4"/>
                <c:pt idx="0">
                  <c:v>153.696</c:v>
                </c:pt>
                <c:pt idx="1">
                  <c:v>105.64599999999999</c:v>
                </c:pt>
                <c:pt idx="2">
                  <c:v>108.39333333333335</c:v>
                </c:pt>
                <c:pt idx="3">
                  <c:v>116.843</c:v>
                </c:pt>
              </c:numCache>
            </c:numRef>
          </c:val>
          <c:extLst>
            <c:ext xmlns:c16="http://schemas.microsoft.com/office/drawing/2014/chart" uri="{C3380CC4-5D6E-409C-BE32-E72D297353CC}">
              <c16:uniqueId val="{00000001-3DD2-4CF7-8504-E9107FA182FF}"/>
            </c:ext>
          </c:extLst>
        </c:ser>
        <c:ser>
          <c:idx val="2"/>
          <c:order val="2"/>
          <c:tx>
            <c:strRef>
              <c:f>Tables!$D$17</c:f>
              <c:strCache>
                <c:ptCount val="1"/>
                <c:pt idx="0">
                  <c:v>Average of Units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Tables!$A$18:$A$24</c:f>
              <c:multiLvlStrCache>
                <c:ptCount val="4"/>
                <c:lvl>
                  <c:pt idx="0">
                    <c:v>Qtr2</c:v>
                  </c:pt>
                  <c:pt idx="1">
                    <c:v>Qtr3</c:v>
                  </c:pt>
                  <c:pt idx="2">
                    <c:v>Qtr4</c:v>
                  </c:pt>
                  <c:pt idx="3">
                    <c:v>Qtr1</c:v>
                  </c:pt>
                </c:lvl>
                <c:lvl>
                  <c:pt idx="0">
                    <c:v>2025</c:v>
                  </c:pt>
                  <c:pt idx="3">
                    <c:v>2026</c:v>
                  </c:pt>
                </c:lvl>
              </c:multiLvlStrCache>
            </c:multiLvlStrRef>
          </c:cat>
          <c:val>
            <c:numRef>
              <c:f>Tables!$D$18:$D$24</c:f>
              <c:numCache>
                <c:formatCode>General</c:formatCode>
                <c:ptCount val="4"/>
                <c:pt idx="0">
                  <c:v>9.1999999999999993</c:v>
                </c:pt>
                <c:pt idx="1">
                  <c:v>5.4</c:v>
                </c:pt>
                <c:pt idx="2">
                  <c:v>7.0666666666666664</c:v>
                </c:pt>
                <c:pt idx="3">
                  <c:v>5.5</c:v>
                </c:pt>
              </c:numCache>
            </c:numRef>
          </c:val>
          <c:extLst>
            <c:ext xmlns:c16="http://schemas.microsoft.com/office/drawing/2014/chart" uri="{C3380CC4-5D6E-409C-BE32-E72D297353CC}">
              <c16:uniqueId val="{00000002-3DD2-4CF7-8504-E9107FA182FF}"/>
            </c:ext>
          </c:extLst>
        </c:ser>
        <c:dLbls>
          <c:showLegendKey val="0"/>
          <c:showVal val="0"/>
          <c:showCatName val="0"/>
          <c:showSerName val="0"/>
          <c:showPercent val="0"/>
          <c:showBubbleSize val="0"/>
        </c:dLbls>
        <c:gapWidth val="115"/>
        <c:overlap val="-20"/>
        <c:axId val="380311263"/>
        <c:axId val="380312223"/>
      </c:barChart>
      <c:catAx>
        <c:axId val="380311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312223"/>
        <c:crosses val="autoZero"/>
        <c:auto val="1"/>
        <c:lblAlgn val="ctr"/>
        <c:lblOffset val="100"/>
        <c:noMultiLvlLbl val="0"/>
      </c:catAx>
      <c:valAx>
        <c:axId val="3803122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31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Completed.xlsx]Tables!PivotTable3</c:name>
    <c:fmtId val="13"/>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013309258768782E-2"/>
          <c:y val="9.8820558561976884E-2"/>
          <c:w val="0.96060267773903396"/>
          <c:h val="0.82083949066279582"/>
        </c:manualLayout>
      </c:layout>
      <c:bar3DChart>
        <c:barDir val="col"/>
        <c:grouping val="clustered"/>
        <c:varyColors val="0"/>
        <c:ser>
          <c:idx val="0"/>
          <c:order val="0"/>
          <c:tx>
            <c:strRef>
              <c:f>Tables!$B$30</c:f>
              <c:strCache>
                <c:ptCount val="1"/>
                <c:pt idx="0">
                  <c:v>Average Unit Price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Tables!$A$31:$A$36</c:f>
              <c:strCache>
                <c:ptCount val="5"/>
                <c:pt idx="0">
                  <c:v>4K Webcam</c:v>
                </c:pt>
                <c:pt idx="1">
                  <c:v>Capture Card</c:v>
                </c:pt>
                <c:pt idx="2">
                  <c:v>LED Panel</c:v>
                </c:pt>
                <c:pt idx="3">
                  <c:v>Macro Deck</c:v>
                </c:pt>
                <c:pt idx="4">
                  <c:v>X-100 Mic</c:v>
                </c:pt>
              </c:strCache>
            </c:strRef>
          </c:cat>
          <c:val>
            <c:numRef>
              <c:f>Tables!$B$31:$B$36</c:f>
              <c:numCache>
                <c:formatCode>General</c:formatCode>
                <c:ptCount val="5"/>
                <c:pt idx="0">
                  <c:v>128.39533333333333</c:v>
                </c:pt>
                <c:pt idx="1">
                  <c:v>95.998333333333335</c:v>
                </c:pt>
                <c:pt idx="2">
                  <c:v>93.89200000000001</c:v>
                </c:pt>
                <c:pt idx="3">
                  <c:v>117.37846153846155</c:v>
                </c:pt>
                <c:pt idx="4">
                  <c:v>118.16166666666668</c:v>
                </c:pt>
              </c:numCache>
            </c:numRef>
          </c:val>
          <c:extLst>
            <c:ext xmlns:c16="http://schemas.microsoft.com/office/drawing/2014/chart" uri="{C3380CC4-5D6E-409C-BE32-E72D297353CC}">
              <c16:uniqueId val="{00000000-BC2B-4648-805F-7C65C447556E}"/>
            </c:ext>
          </c:extLst>
        </c:ser>
        <c:ser>
          <c:idx val="1"/>
          <c:order val="1"/>
          <c:tx>
            <c:strRef>
              <c:f>Tables!$C$30</c:f>
              <c:strCache>
                <c:ptCount val="1"/>
                <c:pt idx="0">
                  <c:v>Average of Shipping_Fee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Tables!$A$31:$A$36</c:f>
              <c:strCache>
                <c:ptCount val="5"/>
                <c:pt idx="0">
                  <c:v>4K Webcam</c:v>
                </c:pt>
                <c:pt idx="1">
                  <c:v>Capture Card</c:v>
                </c:pt>
                <c:pt idx="2">
                  <c:v>LED Panel</c:v>
                </c:pt>
                <c:pt idx="3">
                  <c:v>Macro Deck</c:v>
                </c:pt>
                <c:pt idx="4">
                  <c:v>X-100 Mic</c:v>
                </c:pt>
              </c:strCache>
            </c:strRef>
          </c:cat>
          <c:val>
            <c:numRef>
              <c:f>Tables!$C$31:$C$36</c:f>
              <c:numCache>
                <c:formatCode>0.00</c:formatCode>
                <c:ptCount val="5"/>
                <c:pt idx="0">
                  <c:v>15.215333333333332</c:v>
                </c:pt>
                <c:pt idx="1">
                  <c:v>11.378333333333332</c:v>
                </c:pt>
                <c:pt idx="2">
                  <c:v>14.762</c:v>
                </c:pt>
                <c:pt idx="3">
                  <c:v>10.566923076923077</c:v>
                </c:pt>
                <c:pt idx="4">
                  <c:v>16.455000000000002</c:v>
                </c:pt>
              </c:numCache>
            </c:numRef>
          </c:val>
          <c:extLst>
            <c:ext xmlns:c16="http://schemas.microsoft.com/office/drawing/2014/chart" uri="{C3380CC4-5D6E-409C-BE32-E72D297353CC}">
              <c16:uniqueId val="{00000001-BC2B-4648-805F-7C65C447556E}"/>
            </c:ext>
          </c:extLst>
        </c:ser>
        <c:ser>
          <c:idx val="2"/>
          <c:order val="2"/>
          <c:tx>
            <c:strRef>
              <c:f>Tables!$D$30</c:f>
              <c:strCache>
                <c:ptCount val="1"/>
                <c:pt idx="0">
                  <c:v>Average Sale Value</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Tables!$A$31:$A$36</c:f>
              <c:strCache>
                <c:ptCount val="5"/>
                <c:pt idx="0">
                  <c:v>4K Webcam</c:v>
                </c:pt>
                <c:pt idx="1">
                  <c:v>Capture Card</c:v>
                </c:pt>
                <c:pt idx="2">
                  <c:v>LED Panel</c:v>
                </c:pt>
                <c:pt idx="3">
                  <c:v>Macro Deck</c:v>
                </c:pt>
                <c:pt idx="4">
                  <c:v>X-100 Mic</c:v>
                </c:pt>
              </c:strCache>
            </c:strRef>
          </c:cat>
          <c:val>
            <c:numRef>
              <c:f>Tables!$D$31:$D$36</c:f>
              <c:numCache>
                <c:formatCode>General</c:formatCode>
                <c:ptCount val="5"/>
                <c:pt idx="0">
                  <c:v>650.82022222222236</c:v>
                </c:pt>
                <c:pt idx="1">
                  <c:v>283.30400000000003</c:v>
                </c:pt>
                <c:pt idx="2">
                  <c:v>780.45679999999993</c:v>
                </c:pt>
                <c:pt idx="3">
                  <c:v>656.56742857142865</c:v>
                </c:pt>
                <c:pt idx="4">
                  <c:v>989.61799999999994</c:v>
                </c:pt>
              </c:numCache>
            </c:numRef>
          </c:val>
          <c:extLst>
            <c:ext xmlns:c16="http://schemas.microsoft.com/office/drawing/2014/chart" uri="{C3380CC4-5D6E-409C-BE32-E72D297353CC}">
              <c16:uniqueId val="{00000002-BC2B-4648-805F-7C65C447556E}"/>
            </c:ext>
          </c:extLst>
        </c:ser>
        <c:dLbls>
          <c:showLegendKey val="0"/>
          <c:showVal val="0"/>
          <c:showCatName val="0"/>
          <c:showSerName val="0"/>
          <c:showPercent val="0"/>
          <c:showBubbleSize val="0"/>
        </c:dLbls>
        <c:gapWidth val="65"/>
        <c:shape val="box"/>
        <c:axId val="692764079"/>
        <c:axId val="692770799"/>
        <c:axId val="0"/>
      </c:bar3DChart>
      <c:catAx>
        <c:axId val="6927640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0" i="0" u="none" strike="noStrike" kern="1200" cap="all" baseline="0">
                <a:solidFill>
                  <a:schemeClr val="dk1">
                    <a:lumMod val="75000"/>
                    <a:lumOff val="25000"/>
                  </a:schemeClr>
                </a:solidFill>
                <a:latin typeface="+mn-lt"/>
                <a:ea typeface="+mn-ea"/>
                <a:cs typeface="+mn-cs"/>
              </a:defRPr>
            </a:pPr>
            <a:endParaRPr lang="en-US"/>
          </a:p>
        </c:txPr>
        <c:crossAx val="692770799"/>
        <c:crosses val="autoZero"/>
        <c:auto val="1"/>
        <c:lblAlgn val="ctr"/>
        <c:lblOffset val="100"/>
        <c:noMultiLvlLbl val="0"/>
      </c:catAx>
      <c:valAx>
        <c:axId val="6927707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US"/>
          </a:p>
        </c:txPr>
        <c:crossAx val="69276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Completed.xlsx]Tables!PivotTable4</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Tables!$B$53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Tables!$A$54:$A$57</c:f>
              <c:strCache>
                <c:ptCount val="3"/>
                <c:pt idx="0">
                  <c:v>Cancelled</c:v>
                </c:pt>
                <c:pt idx="1">
                  <c:v>Returned</c:v>
                </c:pt>
                <c:pt idx="2">
                  <c:v>Shipped</c:v>
                </c:pt>
              </c:strCache>
            </c:strRef>
          </c:cat>
          <c:val>
            <c:numRef>
              <c:f>Tables!$B$54:$B$57</c:f>
              <c:numCache>
                <c:formatCode>General</c:formatCode>
                <c:ptCount val="3"/>
                <c:pt idx="0">
                  <c:v>0</c:v>
                </c:pt>
                <c:pt idx="1">
                  <c:v>0</c:v>
                </c:pt>
                <c:pt idx="2">
                  <c:v>17184.785999999996</c:v>
                </c:pt>
              </c:numCache>
            </c:numRef>
          </c:val>
          <c:extLst>
            <c:ext xmlns:c16="http://schemas.microsoft.com/office/drawing/2014/chart" uri="{C3380CC4-5D6E-409C-BE32-E72D297353CC}">
              <c16:uniqueId val="{00000000-0A22-44FD-BF32-92E74F2F88D3}"/>
            </c:ext>
          </c:extLst>
        </c:ser>
        <c:ser>
          <c:idx val="1"/>
          <c:order val="1"/>
          <c:tx>
            <c:strRef>
              <c:f>Tables!$C$53</c:f>
              <c:strCache>
                <c:ptCount val="1"/>
                <c:pt idx="0">
                  <c:v>Sum of Revenue Loss Due To Returns/Cancelled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Tables!$A$54:$A$57</c:f>
              <c:strCache>
                <c:ptCount val="3"/>
                <c:pt idx="0">
                  <c:v>Cancelled</c:v>
                </c:pt>
                <c:pt idx="1">
                  <c:v>Returned</c:v>
                </c:pt>
                <c:pt idx="2">
                  <c:v>Shipped</c:v>
                </c:pt>
              </c:strCache>
            </c:strRef>
          </c:cat>
          <c:val>
            <c:numRef>
              <c:f>Tables!$C$54:$C$57</c:f>
              <c:numCache>
                <c:formatCode>General</c:formatCode>
                <c:ptCount val="3"/>
                <c:pt idx="0">
                  <c:v>14010.327999999998</c:v>
                </c:pt>
                <c:pt idx="1">
                  <c:v>11194.352000000001</c:v>
                </c:pt>
                <c:pt idx="2">
                  <c:v>0</c:v>
                </c:pt>
              </c:numCache>
            </c:numRef>
          </c:val>
          <c:extLst>
            <c:ext xmlns:c16="http://schemas.microsoft.com/office/drawing/2014/chart" uri="{C3380CC4-5D6E-409C-BE32-E72D297353CC}">
              <c16:uniqueId val="{00000001-0A22-44FD-BF32-92E74F2F88D3}"/>
            </c:ext>
          </c:extLst>
        </c:ser>
        <c:dLbls>
          <c:showLegendKey val="0"/>
          <c:showVal val="0"/>
          <c:showCatName val="0"/>
          <c:showSerName val="0"/>
          <c:showPercent val="0"/>
          <c:showBubbleSize val="0"/>
        </c:dLbls>
        <c:gapWidth val="100"/>
        <c:overlap val="-24"/>
        <c:axId val="336593119"/>
        <c:axId val="336584479"/>
      </c:barChart>
      <c:catAx>
        <c:axId val="336593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crossAx val="336584479"/>
        <c:crosses val="autoZero"/>
        <c:auto val="1"/>
        <c:lblAlgn val="ctr"/>
        <c:lblOffset val="100"/>
        <c:noMultiLvlLbl val="0"/>
      </c:catAx>
      <c:valAx>
        <c:axId val="3365844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33659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Completed.xlsx]Tables!PivotTable5</c:name>
    <c:fmtId val="2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Tables!$B$72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DE-4253-9B8D-980D61A11D8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DE-4253-9B8D-980D61A11D8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DE-4253-9B8D-980D61A11D8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7DE-4253-9B8D-980D61A11D8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7DE-4253-9B8D-980D61A11D83}"/>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Tables!$A$73:$A$78</c:f>
              <c:strCache>
                <c:ptCount val="5"/>
                <c:pt idx="0">
                  <c:v>4K Webcam</c:v>
                </c:pt>
                <c:pt idx="1">
                  <c:v>Capture Card</c:v>
                </c:pt>
                <c:pt idx="2">
                  <c:v>LED Panel</c:v>
                </c:pt>
                <c:pt idx="3">
                  <c:v>Macro Deck</c:v>
                </c:pt>
                <c:pt idx="4">
                  <c:v>X-100 Mic</c:v>
                </c:pt>
              </c:strCache>
            </c:strRef>
          </c:cat>
          <c:val>
            <c:numRef>
              <c:f>Tables!$B$73:$B$78</c:f>
              <c:numCache>
                <c:formatCode>General</c:formatCode>
                <c:ptCount val="5"/>
                <c:pt idx="0">
                  <c:v>128.39533333333333</c:v>
                </c:pt>
                <c:pt idx="1">
                  <c:v>95.998333333333335</c:v>
                </c:pt>
                <c:pt idx="2">
                  <c:v>93.89200000000001</c:v>
                </c:pt>
                <c:pt idx="3">
                  <c:v>117.37846153846155</c:v>
                </c:pt>
                <c:pt idx="4">
                  <c:v>118.16166666666668</c:v>
                </c:pt>
              </c:numCache>
            </c:numRef>
          </c:val>
          <c:extLst>
            <c:ext xmlns:c16="http://schemas.microsoft.com/office/drawing/2014/chart" uri="{C3380CC4-5D6E-409C-BE32-E72D297353CC}">
              <c16:uniqueId val="{0000000A-87DE-4253-9B8D-980D61A11D8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Completed.xlsx]Tables!PivotTable2</c:name>
    <c:fmtId val="7"/>
  </c:pivotSource>
  <c:chart>
    <c:title>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Tables!$B$3:$B$4</c:f>
              <c:strCache>
                <c:ptCount val="1"/>
                <c:pt idx="0">
                  <c:v>Consumer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56-40D7-97B7-A6A585F681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56-40D7-97B7-A6A585F681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56-40D7-97B7-A6A585F681E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A56-40D7-97B7-A6A585F681E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A56-40D7-97B7-A6A585F681E9}"/>
              </c:ext>
            </c:extLst>
          </c:dPt>
          <c:cat>
            <c:strRef>
              <c:f>Tables!$A$5:$A$10</c:f>
              <c:strCache>
                <c:ptCount val="5"/>
                <c:pt idx="0">
                  <c:v>4K Webcam</c:v>
                </c:pt>
                <c:pt idx="1">
                  <c:v>Capture Card</c:v>
                </c:pt>
                <c:pt idx="2">
                  <c:v>LED Panel</c:v>
                </c:pt>
                <c:pt idx="3">
                  <c:v>Macro Deck</c:v>
                </c:pt>
                <c:pt idx="4">
                  <c:v>X-100 Mic</c:v>
                </c:pt>
              </c:strCache>
            </c:strRef>
          </c:cat>
          <c:val>
            <c:numRef>
              <c:f>Tables!$B$5:$B$10</c:f>
              <c:numCache>
                <c:formatCode>General</c:formatCode>
                <c:ptCount val="5"/>
                <c:pt idx="0">
                  <c:v>65.307999999999993</c:v>
                </c:pt>
                <c:pt idx="1">
                  <c:v>198.65199999999999</c:v>
                </c:pt>
                <c:pt idx="2">
                  <c:v>0</c:v>
                </c:pt>
                <c:pt idx="3">
                  <c:v>2235.6080000000002</c:v>
                </c:pt>
                <c:pt idx="4">
                  <c:v>1599.1899999999998</c:v>
                </c:pt>
              </c:numCache>
            </c:numRef>
          </c:val>
          <c:extLst>
            <c:ext xmlns:c16="http://schemas.microsoft.com/office/drawing/2014/chart" uri="{C3380CC4-5D6E-409C-BE32-E72D297353CC}">
              <c16:uniqueId val="{0000000A-CA56-40D7-97B7-A6A585F681E9}"/>
            </c:ext>
          </c:extLst>
        </c:ser>
        <c:ser>
          <c:idx val="1"/>
          <c:order val="1"/>
          <c:tx>
            <c:strRef>
              <c:f>Tables!$C$3:$C$4</c:f>
              <c:strCache>
                <c:ptCount val="1"/>
                <c:pt idx="0">
                  <c:v>Corporate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AB6-40B3-8BBA-69A08E7E63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AB6-40B3-8BBA-69A08E7E63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AB6-40B3-8BBA-69A08E7E63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AB6-40B3-8BBA-69A08E7E63C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AB6-40B3-8BBA-69A08E7E63C8}"/>
              </c:ext>
            </c:extLst>
          </c:dPt>
          <c:cat>
            <c:strRef>
              <c:f>Tables!$A$5:$A$10</c:f>
              <c:strCache>
                <c:ptCount val="5"/>
                <c:pt idx="0">
                  <c:v>4K Webcam</c:v>
                </c:pt>
                <c:pt idx="1">
                  <c:v>Capture Card</c:v>
                </c:pt>
                <c:pt idx="2">
                  <c:v>LED Panel</c:v>
                </c:pt>
                <c:pt idx="3">
                  <c:v>Macro Deck</c:v>
                </c:pt>
                <c:pt idx="4">
                  <c:v>X-100 Mic</c:v>
                </c:pt>
              </c:strCache>
            </c:strRef>
          </c:cat>
          <c:val>
            <c:numRef>
              <c:f>Tables!$C$5:$C$10</c:f>
              <c:numCache>
                <c:formatCode>General</c:formatCode>
                <c:ptCount val="5"/>
                <c:pt idx="0">
                  <c:v>1110.44</c:v>
                </c:pt>
                <c:pt idx="1">
                  <c:v>651.26</c:v>
                </c:pt>
                <c:pt idx="2">
                  <c:v>1526.6979999999999</c:v>
                </c:pt>
                <c:pt idx="3">
                  <c:v>2222.6200000000003</c:v>
                </c:pt>
              </c:numCache>
            </c:numRef>
          </c:val>
          <c:extLst>
            <c:ext xmlns:c16="http://schemas.microsoft.com/office/drawing/2014/chart" uri="{C3380CC4-5D6E-409C-BE32-E72D297353CC}">
              <c16:uniqueId val="{0000001F-20D9-427E-9C44-C24332C8165C}"/>
            </c:ext>
          </c:extLst>
        </c:ser>
        <c:ser>
          <c:idx val="2"/>
          <c:order val="2"/>
          <c:tx>
            <c:strRef>
              <c:f>Tables!$D$3:$D$4</c:f>
              <c:strCache>
                <c:ptCount val="1"/>
                <c:pt idx="0">
                  <c:v>Education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AB6-40B3-8BBA-69A08E7E63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AB6-40B3-8BBA-69A08E7E63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AB6-40B3-8BBA-69A08E7E63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AB6-40B3-8BBA-69A08E7E63C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AB6-40B3-8BBA-69A08E7E63C8}"/>
              </c:ext>
            </c:extLst>
          </c:dPt>
          <c:cat>
            <c:strRef>
              <c:f>Tables!$A$5:$A$10</c:f>
              <c:strCache>
                <c:ptCount val="5"/>
                <c:pt idx="0">
                  <c:v>4K Webcam</c:v>
                </c:pt>
                <c:pt idx="1">
                  <c:v>Capture Card</c:v>
                </c:pt>
                <c:pt idx="2">
                  <c:v>LED Panel</c:v>
                </c:pt>
                <c:pt idx="3">
                  <c:v>Macro Deck</c:v>
                </c:pt>
                <c:pt idx="4">
                  <c:v>X-100 Mic</c:v>
                </c:pt>
              </c:strCache>
            </c:strRef>
          </c:cat>
          <c:val>
            <c:numRef>
              <c:f>Tables!$D$5:$D$10</c:f>
              <c:numCache>
                <c:formatCode>General</c:formatCode>
                <c:ptCount val="5"/>
                <c:pt idx="0">
                  <c:v>4681.6340000000009</c:v>
                </c:pt>
                <c:pt idx="1">
                  <c:v>0</c:v>
                </c:pt>
                <c:pt idx="2">
                  <c:v>2375.5859999999998</c:v>
                </c:pt>
                <c:pt idx="3">
                  <c:v>137.744</c:v>
                </c:pt>
                <c:pt idx="4">
                  <c:v>380.04599999999999</c:v>
                </c:pt>
              </c:numCache>
            </c:numRef>
          </c:val>
          <c:extLst>
            <c:ext xmlns:c16="http://schemas.microsoft.com/office/drawing/2014/chart" uri="{C3380CC4-5D6E-409C-BE32-E72D297353CC}">
              <c16:uniqueId val="{00000020-20D9-427E-9C44-C24332C816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13804</xdr:rowOff>
    </xdr:from>
    <xdr:to>
      <xdr:col>11</xdr:col>
      <xdr:colOff>13803</xdr:colOff>
      <xdr:row>3</xdr:row>
      <xdr:rowOff>34511</xdr:rowOff>
    </xdr:to>
    <xdr:sp macro="" textlink="">
      <xdr:nvSpPr>
        <xdr:cNvPr id="3" name="TextBox 2">
          <a:extLst>
            <a:ext uri="{FF2B5EF4-FFF2-40B4-BE49-F238E27FC236}">
              <a16:creationId xmlns:a16="http://schemas.microsoft.com/office/drawing/2014/main" id="{1896B9F5-A227-C5AE-2CAA-5208598790A5}"/>
            </a:ext>
          </a:extLst>
        </xdr:cNvPr>
        <xdr:cNvSpPr txBox="1"/>
      </xdr:nvSpPr>
      <xdr:spPr>
        <a:xfrm>
          <a:off x="0" y="13804"/>
          <a:ext cx="1228586" cy="57978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Search</a:t>
          </a:r>
          <a:r>
            <a:rPr lang="en-IN" sz="1400" b="1" baseline="0">
              <a:solidFill>
                <a:schemeClr val="bg1"/>
              </a:solidFill>
            </a:rPr>
            <a:t> </a:t>
          </a:r>
          <a:endParaRPr lang="en-IN" sz="14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270216</xdr:colOff>
      <xdr:row>15</xdr:row>
      <xdr:rowOff>35324</xdr:rowOff>
    </xdr:from>
    <xdr:to>
      <xdr:col>10</xdr:col>
      <xdr:colOff>118193</xdr:colOff>
      <xdr:row>30</xdr:row>
      <xdr:rowOff>47919</xdr:rowOff>
    </xdr:to>
    <xdr:graphicFrame macro="">
      <xdr:nvGraphicFramePr>
        <xdr:cNvPr id="3" name="Chart 2">
          <a:extLst>
            <a:ext uri="{FF2B5EF4-FFF2-40B4-BE49-F238E27FC236}">
              <a16:creationId xmlns:a16="http://schemas.microsoft.com/office/drawing/2014/main" id="{EF5AD9FC-D101-A5E8-123A-695F8E42D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160890</xdr:rowOff>
    </xdr:from>
    <xdr:to>
      <xdr:col>20</xdr:col>
      <xdr:colOff>28222</xdr:colOff>
      <xdr:row>51</xdr:row>
      <xdr:rowOff>175704</xdr:rowOff>
    </xdr:to>
    <xdr:sp macro="" textlink="">
      <xdr:nvSpPr>
        <xdr:cNvPr id="20" name="Rectangle: Rounded Corners 19">
          <a:extLst>
            <a:ext uri="{FF2B5EF4-FFF2-40B4-BE49-F238E27FC236}">
              <a16:creationId xmlns:a16="http://schemas.microsoft.com/office/drawing/2014/main" id="{F441BD8D-51B3-A59D-BC47-C9F37322517F}"/>
            </a:ext>
          </a:extLst>
        </xdr:cNvPr>
        <xdr:cNvSpPr/>
      </xdr:nvSpPr>
      <xdr:spPr>
        <a:xfrm>
          <a:off x="0" y="1820084"/>
          <a:ext cx="12318545" cy="77577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171628</xdr:colOff>
      <xdr:row>12</xdr:row>
      <xdr:rowOff>135960</xdr:rowOff>
    </xdr:from>
    <xdr:to>
      <xdr:col>19</xdr:col>
      <xdr:colOff>432672</xdr:colOff>
      <xdr:row>49</xdr:row>
      <xdr:rowOff>154831</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3FD649C6-A2DB-4ADB-84B8-1FB44C5C07A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220378" y="2421960"/>
              <a:ext cx="2674044" cy="7067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119714</xdr:colOff>
      <xdr:row>12</xdr:row>
      <xdr:rowOff>83009</xdr:rowOff>
    </xdr:from>
    <xdr:to>
      <xdr:col>15</xdr:col>
      <xdr:colOff>2627</xdr:colOff>
      <xdr:row>49</xdr:row>
      <xdr:rowOff>101880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9315FE1-AF2C-41EC-B491-6A210D0967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52214" y="2369009"/>
              <a:ext cx="2899163" cy="7067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295875</xdr:colOff>
      <xdr:row>12</xdr:row>
      <xdr:rowOff>55205</xdr:rowOff>
    </xdr:from>
    <xdr:to>
      <xdr:col>4</xdr:col>
      <xdr:colOff>560214</xdr:colOff>
      <xdr:row>49</xdr:row>
      <xdr:rowOff>74076</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49B9352D-1915-4CCD-824C-430E85E8785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95875" y="2341205"/>
              <a:ext cx="2677339" cy="7067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156513</xdr:colOff>
      <xdr:row>12</xdr:row>
      <xdr:rowOff>109005</xdr:rowOff>
    </xdr:from>
    <xdr:to>
      <xdr:col>9</xdr:col>
      <xdr:colOff>605975</xdr:colOff>
      <xdr:row>49</xdr:row>
      <xdr:rowOff>127876</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0F9AFC97-5353-4CE2-8369-97BDA5C938C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172763" y="2395005"/>
              <a:ext cx="2862462" cy="7067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204837</xdr:colOff>
      <xdr:row>55</xdr:row>
      <xdr:rowOff>20484</xdr:rowOff>
    </xdr:from>
    <xdr:to>
      <xdr:col>20</xdr:col>
      <xdr:colOff>184353</xdr:colOff>
      <xdr:row>95</xdr:row>
      <xdr:rowOff>143387</xdr:rowOff>
    </xdr:to>
    <xdr:sp macro="" textlink="">
      <xdr:nvSpPr>
        <xdr:cNvPr id="21" name="Rectangle: Rounded Corners 20">
          <a:extLst>
            <a:ext uri="{FF2B5EF4-FFF2-40B4-BE49-F238E27FC236}">
              <a16:creationId xmlns:a16="http://schemas.microsoft.com/office/drawing/2014/main" id="{FC47B76F-0CA8-4E69-FACF-24C3BD037E67}"/>
            </a:ext>
          </a:extLst>
        </xdr:cNvPr>
        <xdr:cNvSpPr/>
      </xdr:nvSpPr>
      <xdr:spPr>
        <a:xfrm>
          <a:off x="204837" y="10160000"/>
          <a:ext cx="12269839" cy="74970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593212</xdr:colOff>
      <xdr:row>57</xdr:row>
      <xdr:rowOff>81936</xdr:rowOff>
    </xdr:from>
    <xdr:to>
      <xdr:col>19</xdr:col>
      <xdr:colOff>440434</xdr:colOff>
      <xdr:row>68</xdr:row>
      <xdr:rowOff>74436</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95C3AA69-9BB7-465A-999A-F595957639C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93212" y="10940436"/>
              <a:ext cx="11308972" cy="208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40968</xdr:colOff>
      <xdr:row>71</xdr:row>
      <xdr:rowOff>61452</xdr:rowOff>
    </xdr:from>
    <xdr:to>
      <xdr:col>19</xdr:col>
      <xdr:colOff>368710</xdr:colOff>
      <xdr:row>93</xdr:row>
      <xdr:rowOff>0</xdr:rowOff>
    </xdr:to>
    <mc:AlternateContent xmlns:mc="http://schemas.openxmlformats.org/markup-compatibility/2006" xmlns:a14="http://schemas.microsoft.com/office/drawing/2010/main">
      <mc:Choice Requires="a14">
        <xdr:graphicFrame macro="">
          <xdr:nvGraphicFramePr>
            <xdr:cNvPr id="19" name="Discount_Pct">
              <a:extLst>
                <a:ext uri="{FF2B5EF4-FFF2-40B4-BE49-F238E27FC236}">
                  <a16:creationId xmlns:a16="http://schemas.microsoft.com/office/drawing/2014/main" id="{FD2169FF-A173-4E81-9FA2-AB627E38AF58}"/>
                </a:ext>
              </a:extLst>
            </xdr:cNvPr>
            <xdr:cNvGraphicFramePr/>
          </xdr:nvGraphicFramePr>
          <xdr:xfrm>
            <a:off x="0" y="0"/>
            <a:ext cx="0" cy="0"/>
          </xdr:xfrm>
          <a:graphic>
            <a:graphicData uri="http://schemas.microsoft.com/office/drawing/2010/slicer">
              <sle:slicer xmlns:sle="http://schemas.microsoft.com/office/drawing/2010/slicer" name="Discount_Pct"/>
            </a:graphicData>
          </a:graphic>
        </xdr:graphicFrame>
      </mc:Choice>
      <mc:Fallback xmlns="">
        <xdr:sp macro="" textlink="">
          <xdr:nvSpPr>
            <xdr:cNvPr id="0" name=""/>
            <xdr:cNvSpPr>
              <a:spLocks noTextEdit="1"/>
            </xdr:cNvSpPr>
          </xdr:nvSpPr>
          <xdr:spPr>
            <a:xfrm>
              <a:off x="644218" y="13586952"/>
              <a:ext cx="11186242" cy="4129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134976</xdr:colOff>
      <xdr:row>1</xdr:row>
      <xdr:rowOff>42334</xdr:rowOff>
    </xdr:from>
    <xdr:to>
      <xdr:col>40</xdr:col>
      <xdr:colOff>431923</xdr:colOff>
      <xdr:row>8</xdr:row>
      <xdr:rowOff>56444</xdr:rowOff>
    </xdr:to>
    <xdr:sp macro="" textlink="">
      <xdr:nvSpPr>
        <xdr:cNvPr id="22" name="TextBox 21">
          <a:extLst>
            <a:ext uri="{FF2B5EF4-FFF2-40B4-BE49-F238E27FC236}">
              <a16:creationId xmlns:a16="http://schemas.microsoft.com/office/drawing/2014/main" id="{46FFCC96-DB3A-ACF1-1B56-9E89FA053291}"/>
            </a:ext>
          </a:extLst>
        </xdr:cNvPr>
        <xdr:cNvSpPr txBox="1"/>
      </xdr:nvSpPr>
      <xdr:spPr>
        <a:xfrm>
          <a:off x="15319759" y="235595"/>
          <a:ext cx="9407816" cy="136693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solidFill>
                <a:schemeClr val="bg1"/>
              </a:solidFill>
            </a:rPr>
            <a:t>Sales</a:t>
          </a:r>
          <a:r>
            <a:rPr lang="en-IN" sz="4800" baseline="0">
              <a:solidFill>
                <a:schemeClr val="bg1"/>
              </a:solidFill>
            </a:rPr>
            <a:t> Dashboard</a:t>
          </a:r>
          <a:endParaRPr lang="en-IN" sz="4800">
            <a:solidFill>
              <a:schemeClr val="bg1"/>
            </a:solidFill>
          </a:endParaRPr>
        </a:p>
      </xdr:txBody>
    </xdr:sp>
    <xdr:clientData/>
  </xdr:twoCellAnchor>
  <xdr:twoCellAnchor>
    <xdr:from>
      <xdr:col>20</xdr:col>
      <xdr:colOff>356219</xdr:colOff>
      <xdr:row>10</xdr:row>
      <xdr:rowOff>0</xdr:rowOff>
    </xdr:from>
    <xdr:to>
      <xdr:col>46</xdr:col>
      <xdr:colOff>15488</xdr:colOff>
      <xdr:row>51</xdr:row>
      <xdr:rowOff>154878</xdr:rowOff>
    </xdr:to>
    <xdr:sp macro="" textlink="">
      <xdr:nvSpPr>
        <xdr:cNvPr id="24" name="Rectangle: Rounded Corners 23">
          <a:extLst>
            <a:ext uri="{FF2B5EF4-FFF2-40B4-BE49-F238E27FC236}">
              <a16:creationId xmlns:a16="http://schemas.microsoft.com/office/drawing/2014/main" id="{BB21063A-2B69-4C03-9838-4BFB2C4CF442}"/>
            </a:ext>
          </a:extLst>
        </xdr:cNvPr>
        <xdr:cNvSpPr/>
      </xdr:nvSpPr>
      <xdr:spPr>
        <a:xfrm>
          <a:off x="12436707" y="1858537"/>
          <a:ext cx="15363903" cy="77748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402683</xdr:colOff>
      <xdr:row>14</xdr:row>
      <xdr:rowOff>139391</xdr:rowOff>
    </xdr:from>
    <xdr:to>
      <xdr:col>44</xdr:col>
      <xdr:colOff>588537</xdr:colOff>
      <xdr:row>49</xdr:row>
      <xdr:rowOff>170367</xdr:rowOff>
    </xdr:to>
    <xdr:graphicFrame macro="">
      <xdr:nvGraphicFramePr>
        <xdr:cNvPr id="6" name="Chart 5">
          <a:extLst>
            <a:ext uri="{FF2B5EF4-FFF2-40B4-BE49-F238E27FC236}">
              <a16:creationId xmlns:a16="http://schemas.microsoft.com/office/drawing/2014/main" id="{DFBAE69C-742E-463B-9070-9B127DBAB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57727</xdr:colOff>
      <xdr:row>10</xdr:row>
      <xdr:rowOff>115455</xdr:rowOff>
    </xdr:from>
    <xdr:to>
      <xdr:col>44</xdr:col>
      <xdr:colOff>139391</xdr:colOff>
      <xdr:row>14</xdr:row>
      <xdr:rowOff>77439</xdr:rowOff>
    </xdr:to>
    <xdr:sp macro="" textlink="">
      <xdr:nvSpPr>
        <xdr:cNvPr id="25" name="TextBox 24">
          <a:extLst>
            <a:ext uri="{FF2B5EF4-FFF2-40B4-BE49-F238E27FC236}">
              <a16:creationId xmlns:a16="http://schemas.microsoft.com/office/drawing/2014/main" id="{2116AB86-F0D8-ABE5-9782-1FD45FFE6F75}"/>
            </a:ext>
          </a:extLst>
        </xdr:cNvPr>
        <xdr:cNvSpPr txBox="1"/>
      </xdr:nvSpPr>
      <xdr:spPr>
        <a:xfrm>
          <a:off x="13604394" y="2039697"/>
          <a:ext cx="13628330" cy="73168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UNIT COST VS</a:t>
          </a:r>
          <a:r>
            <a:rPr lang="en-IN" sz="3200" baseline="0"/>
            <a:t> SHIPPING COSTS VS SALE PRICE </a:t>
          </a:r>
          <a:endParaRPr lang="en-IN" sz="3200"/>
        </a:p>
      </xdr:txBody>
    </xdr:sp>
    <xdr:clientData/>
  </xdr:twoCellAnchor>
  <xdr:twoCellAnchor>
    <xdr:from>
      <xdr:col>20</xdr:col>
      <xdr:colOff>409677</xdr:colOff>
      <xdr:row>54</xdr:row>
      <xdr:rowOff>122903</xdr:rowOff>
    </xdr:from>
    <xdr:to>
      <xdr:col>46</xdr:col>
      <xdr:colOff>67905</xdr:colOff>
      <xdr:row>96</xdr:row>
      <xdr:rowOff>93425</xdr:rowOff>
    </xdr:to>
    <xdr:sp macro="" textlink="">
      <xdr:nvSpPr>
        <xdr:cNvPr id="26" name="Rectangle: Rounded Corners 25">
          <a:extLst>
            <a:ext uri="{FF2B5EF4-FFF2-40B4-BE49-F238E27FC236}">
              <a16:creationId xmlns:a16="http://schemas.microsoft.com/office/drawing/2014/main" id="{D1D30999-DA19-452E-8912-F491B1DD3603}"/>
            </a:ext>
          </a:extLst>
        </xdr:cNvPr>
        <xdr:cNvSpPr/>
      </xdr:nvSpPr>
      <xdr:spPr>
        <a:xfrm>
          <a:off x="12700000" y="10078064"/>
          <a:ext cx="15635647" cy="77134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506541</xdr:colOff>
      <xdr:row>59</xdr:row>
      <xdr:rowOff>89227</xdr:rowOff>
    </xdr:from>
    <xdr:to>
      <xdr:col>45</xdr:col>
      <xdr:colOff>139568</xdr:colOff>
      <xdr:row>94</xdr:row>
      <xdr:rowOff>165954</xdr:rowOff>
    </xdr:to>
    <xdr:graphicFrame macro="">
      <xdr:nvGraphicFramePr>
        <xdr:cNvPr id="7" name="Chart 6">
          <a:extLst>
            <a:ext uri="{FF2B5EF4-FFF2-40B4-BE49-F238E27FC236}">
              <a16:creationId xmlns:a16="http://schemas.microsoft.com/office/drawing/2014/main" id="{DC5D4687-C54B-4E22-A8B5-FC286A77A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592643</xdr:colOff>
      <xdr:row>55</xdr:row>
      <xdr:rowOff>35413</xdr:rowOff>
    </xdr:from>
    <xdr:to>
      <xdr:col>44</xdr:col>
      <xdr:colOff>96516</xdr:colOff>
      <xdr:row>58</xdr:row>
      <xdr:rowOff>176716</xdr:rowOff>
    </xdr:to>
    <xdr:sp macro="" textlink="">
      <xdr:nvSpPr>
        <xdr:cNvPr id="27" name="TextBox 26">
          <a:extLst>
            <a:ext uri="{FF2B5EF4-FFF2-40B4-BE49-F238E27FC236}">
              <a16:creationId xmlns:a16="http://schemas.microsoft.com/office/drawing/2014/main" id="{0686FC0B-719A-5A7F-4A1E-2B999F3EC1B3}"/>
            </a:ext>
          </a:extLst>
        </xdr:cNvPr>
        <xdr:cNvSpPr txBox="1"/>
      </xdr:nvSpPr>
      <xdr:spPr>
        <a:xfrm>
          <a:off x="14111998" y="10174929"/>
          <a:ext cx="13023228" cy="69436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Cancelled,</a:t>
          </a:r>
          <a:r>
            <a:rPr lang="en-IN" sz="3200" baseline="0"/>
            <a:t> Returned VS Shipped </a:t>
          </a:r>
          <a:endParaRPr lang="en-IN" sz="3200"/>
        </a:p>
      </xdr:txBody>
    </xdr:sp>
    <xdr:clientData/>
  </xdr:twoCellAnchor>
  <xdr:twoCellAnchor>
    <xdr:from>
      <xdr:col>46</xdr:col>
      <xdr:colOff>307258</xdr:colOff>
      <xdr:row>10</xdr:row>
      <xdr:rowOff>40968</xdr:rowOff>
    </xdr:from>
    <xdr:to>
      <xdr:col>71</xdr:col>
      <xdr:colOff>581043</xdr:colOff>
      <xdr:row>52</xdr:row>
      <xdr:rowOff>11491</xdr:rowOff>
    </xdr:to>
    <xdr:sp macro="" textlink="">
      <xdr:nvSpPr>
        <xdr:cNvPr id="28" name="Rectangle: Rounded Corners 27">
          <a:extLst>
            <a:ext uri="{FF2B5EF4-FFF2-40B4-BE49-F238E27FC236}">
              <a16:creationId xmlns:a16="http://schemas.microsoft.com/office/drawing/2014/main" id="{B05652F8-DBF8-44B2-AC1A-5206995A2222}"/>
            </a:ext>
          </a:extLst>
        </xdr:cNvPr>
        <xdr:cNvSpPr/>
      </xdr:nvSpPr>
      <xdr:spPr>
        <a:xfrm>
          <a:off x="28575000" y="1884516"/>
          <a:ext cx="15636688" cy="77134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47</xdr:col>
      <xdr:colOff>286775</xdr:colOff>
      <xdr:row>14</xdr:row>
      <xdr:rowOff>154951</xdr:rowOff>
    </xdr:from>
    <xdr:to>
      <xdr:col>71</xdr:col>
      <xdr:colOff>163871</xdr:colOff>
      <xdr:row>49</xdr:row>
      <xdr:rowOff>40967</xdr:rowOff>
    </xdr:to>
    <xdr:graphicFrame macro="">
      <xdr:nvGraphicFramePr>
        <xdr:cNvPr id="8" name="Chart 7">
          <a:extLst>
            <a:ext uri="{FF2B5EF4-FFF2-40B4-BE49-F238E27FC236}">
              <a16:creationId xmlns:a16="http://schemas.microsoft.com/office/drawing/2014/main" id="{4D6891CC-5C5E-4144-A003-E7B480B49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307258</xdr:colOff>
      <xdr:row>54</xdr:row>
      <xdr:rowOff>163871</xdr:rowOff>
    </xdr:from>
    <xdr:to>
      <xdr:col>71</xdr:col>
      <xdr:colOff>580002</xdr:colOff>
      <xdr:row>96</xdr:row>
      <xdr:rowOff>134393</xdr:rowOff>
    </xdr:to>
    <xdr:sp macro="" textlink="">
      <xdr:nvSpPr>
        <xdr:cNvPr id="29" name="Rectangle: Rounded Corners 28">
          <a:extLst>
            <a:ext uri="{FF2B5EF4-FFF2-40B4-BE49-F238E27FC236}">
              <a16:creationId xmlns:a16="http://schemas.microsoft.com/office/drawing/2014/main" id="{917B13E9-3E18-47BB-8CB0-3271A852A605}"/>
            </a:ext>
          </a:extLst>
        </xdr:cNvPr>
        <xdr:cNvSpPr/>
      </xdr:nvSpPr>
      <xdr:spPr>
        <a:xfrm>
          <a:off x="28575000" y="10119032"/>
          <a:ext cx="15635647" cy="77134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48</xdr:col>
      <xdr:colOff>204840</xdr:colOff>
      <xdr:row>59</xdr:row>
      <xdr:rowOff>15163</xdr:rowOff>
    </xdr:from>
    <xdr:to>
      <xdr:col>70</xdr:col>
      <xdr:colOff>450645</xdr:colOff>
      <xdr:row>95</xdr:row>
      <xdr:rowOff>-1</xdr:rowOff>
    </xdr:to>
    <xdr:graphicFrame macro="">
      <xdr:nvGraphicFramePr>
        <xdr:cNvPr id="5" name="Chart 4">
          <a:extLst>
            <a:ext uri="{FF2B5EF4-FFF2-40B4-BE49-F238E27FC236}">
              <a16:creationId xmlns:a16="http://schemas.microsoft.com/office/drawing/2014/main" id="{1DFE6676-D171-4C54-A13F-6D9AD96FA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53</xdr:col>
      <xdr:colOff>122903</xdr:colOff>
      <xdr:row>11</xdr:row>
      <xdr:rowOff>40966</xdr:rowOff>
    </xdr:from>
    <xdr:to>
      <xdr:col>64</xdr:col>
      <xdr:colOff>512097</xdr:colOff>
      <xdr:row>14</xdr:row>
      <xdr:rowOff>81934</xdr:rowOff>
    </xdr:to>
    <xdr:sp macro="" textlink="">
      <xdr:nvSpPr>
        <xdr:cNvPr id="30" name="TextBox 29">
          <a:extLst>
            <a:ext uri="{FF2B5EF4-FFF2-40B4-BE49-F238E27FC236}">
              <a16:creationId xmlns:a16="http://schemas.microsoft.com/office/drawing/2014/main" id="{11FFE9BA-5566-E027-CB60-E872EAC72A17}"/>
            </a:ext>
          </a:extLst>
        </xdr:cNvPr>
        <xdr:cNvSpPr txBox="1"/>
      </xdr:nvSpPr>
      <xdr:spPr>
        <a:xfrm>
          <a:off x="32692258" y="2068869"/>
          <a:ext cx="7148871" cy="59403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AVERAGE</a:t>
          </a:r>
          <a:r>
            <a:rPr lang="en-IN" sz="3200" baseline="0"/>
            <a:t> UNIT PRICE COMPARISION</a:t>
          </a:r>
          <a:endParaRPr lang="en-IN" sz="3200"/>
        </a:p>
      </xdr:txBody>
    </xdr:sp>
    <xdr:clientData/>
  </xdr:twoCellAnchor>
  <xdr:twoCellAnchor>
    <xdr:from>
      <xdr:col>54</xdr:col>
      <xdr:colOff>565113</xdr:colOff>
      <xdr:row>55</xdr:row>
      <xdr:rowOff>98806</xdr:rowOff>
    </xdr:from>
    <xdr:to>
      <xdr:col>63</xdr:col>
      <xdr:colOff>524147</xdr:colOff>
      <xdr:row>58</xdr:row>
      <xdr:rowOff>160258</xdr:rowOff>
    </xdr:to>
    <xdr:sp macro="" textlink="">
      <xdr:nvSpPr>
        <xdr:cNvPr id="31" name="TextBox 30">
          <a:extLst>
            <a:ext uri="{FF2B5EF4-FFF2-40B4-BE49-F238E27FC236}">
              <a16:creationId xmlns:a16="http://schemas.microsoft.com/office/drawing/2014/main" id="{F09028CF-6C8F-DA65-CA00-7929861008B9}"/>
            </a:ext>
          </a:extLst>
        </xdr:cNvPr>
        <xdr:cNvSpPr txBox="1"/>
      </xdr:nvSpPr>
      <xdr:spPr>
        <a:xfrm>
          <a:off x="33510407" y="10370865"/>
          <a:ext cx="5449916" cy="62174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SEGEMENT</a:t>
          </a:r>
          <a:r>
            <a:rPr lang="en-IN" sz="3200" baseline="0"/>
            <a:t> WISEBREAKUP </a:t>
          </a:r>
          <a:endParaRPr lang="en-IN" sz="3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4.775456597221" createdVersion="8" refreshedVersion="8" minRefreshableVersion="3" recordCount="50" xr:uid="{3248403C-7521-4CD3-8B39-C43291B9A66E}">
  <cacheSource type="worksheet">
    <worksheetSource ref="A9:L59" sheet="Data"/>
  </cacheSource>
  <cacheFields count="15">
    <cacheField name="Order_ID" numFmtId="0">
      <sharedItems/>
    </cacheField>
    <cacheField name="Date" numFmtId="14">
      <sharedItems containsSemiMixedTypes="0" containsNonDate="0" containsDate="1" containsString="0" minDate="2025-06-02T00:00:00" maxDate="2026-02-21T00:00:00" count="47">
        <d v="2025-10-30T00:00:00"/>
        <d v="2026-02-13T00:00:00"/>
        <d v="2025-06-14T00:00:00"/>
        <d v="2026-01-22T00:00:00"/>
        <d v="2025-12-08T00:00:00"/>
        <d v="2026-01-30T00:00:00"/>
        <d v="2025-12-09T00:00:00"/>
        <d v="2025-08-28T00:00:00"/>
        <d v="2025-10-13T00:00:00"/>
        <d v="2025-06-21T00:00:00"/>
        <d v="2025-09-14T00:00:00"/>
        <d v="2025-07-19T00:00:00"/>
        <d v="2025-06-02T00:00:00"/>
        <d v="2025-07-14T00:00:00"/>
        <d v="2025-07-29T00:00:00"/>
        <d v="2026-02-19T00:00:00"/>
        <d v="2025-06-22T00:00:00"/>
        <d v="2025-10-09T00:00:00"/>
        <d v="2026-01-01T00:00:00"/>
        <d v="2025-07-05T00:00:00"/>
        <d v="2025-12-23T00:00:00"/>
        <d v="2025-08-20T00:00:00"/>
        <d v="2025-09-15T00:00:00"/>
        <d v="2025-08-27T00:00:00"/>
        <d v="2025-07-23T00:00:00"/>
        <d v="2026-01-28T00:00:00"/>
        <d v="2025-11-22T00:00:00"/>
        <d v="2025-09-08T00:00:00"/>
        <d v="2025-07-20T00:00:00"/>
        <d v="2025-12-06T00:00:00"/>
        <d v="2025-11-17T00:00:00"/>
        <d v="2025-07-21T00:00:00"/>
        <d v="2025-07-25T00:00:00"/>
        <d v="2025-12-07T00:00:00"/>
        <d v="2025-09-30T00:00:00"/>
        <d v="2025-07-24T00:00:00"/>
        <d v="2025-12-05T00:00:00"/>
        <d v="2025-09-11T00:00:00"/>
        <d v="2026-02-20T00:00:00"/>
        <d v="2025-11-08T00:00:00"/>
        <d v="2025-10-28T00:00:00"/>
        <d v="2026-02-08T00:00:00"/>
        <d v="2026-01-04T00:00:00"/>
        <d v="2026-02-15T00:00:00"/>
        <d v="2025-08-31T00:00:00"/>
        <d v="2025-08-11T00:00:00"/>
        <d v="2025-11-14T00:00:00"/>
      </sharedItems>
      <fieldGroup par="14"/>
    </cacheField>
    <cacheField name="Region" numFmtId="0">
      <sharedItems count="4">
        <s v="APAC"/>
        <s v="EMEA"/>
        <s v="North America"/>
        <s v="LATAM"/>
      </sharedItems>
    </cacheField>
    <cacheField name="Segment" numFmtId="0">
      <sharedItems count="3">
        <s v="Education"/>
        <s v="Corporate"/>
        <s v="Consumer"/>
      </sharedItems>
    </cacheField>
    <cacheField name="Product" numFmtId="0">
      <sharedItems count="5">
        <s v="Macro Deck"/>
        <s v="X-100 Mic"/>
        <s v="4K Webcam"/>
        <s v="LED Panel"/>
        <s v="Capture Card"/>
      </sharedItems>
    </cacheField>
    <cacheField name="Units" numFmtId="0">
      <sharedItems containsSemiMixedTypes="0" containsString="0" containsNumber="1" containsInteger="1" minValue="1" maxValue="14"/>
    </cacheField>
    <cacheField name="Unit_Price" numFmtId="0">
      <sharedItems containsSemiMixedTypes="0" containsString="0" containsNumber="1" minValue="49.99" maxValue="199.99"/>
    </cacheField>
    <cacheField name="Discount_Pct" numFmtId="9">
      <sharedItems containsSemiMixedTypes="0" containsString="0" containsNumber="1" minValue="0" maxValue="0.2" count="5">
        <n v="0.2"/>
        <n v="0"/>
        <n v="0.1"/>
        <n v="0.15"/>
        <n v="0.05"/>
      </sharedItems>
    </cacheField>
    <cacheField name="Shipping_Fee" numFmtId="2">
      <sharedItems containsSemiMixedTypes="0" containsString="0" containsNumber="1" minValue="5.0999999999999996" maxValue="24.64"/>
    </cacheField>
    <cacheField name="Status" numFmtId="0">
      <sharedItems count="3">
        <s v="Cancelled"/>
        <s v="Returned"/>
        <s v="Shipped"/>
      </sharedItems>
    </cacheField>
    <cacheField name="Sales" numFmtId="2">
      <sharedItems containsMixedTypes="1" containsNumber="1" minValue="17.727999999999998" maxValue="2222.6200000000003"/>
    </cacheField>
    <cacheField name="Revenue Loss Due To Returns " numFmtId="2">
      <sharedItems containsSemiMixedTypes="0" containsString="0" containsNumber="1" minValue="0" maxValue="3168.7319999999995"/>
    </cacheField>
    <cacheField name="Months (Date)" numFmtId="0" databaseField="0">
      <fieldGroup base="1">
        <rangePr groupBy="months" startDate="2025-06-02T00:00:00" endDate="2026-02-21T00:00:00"/>
        <groupItems count="14">
          <s v="&lt;02-06-2025"/>
          <s v="Jan"/>
          <s v="Feb"/>
          <s v="Mar"/>
          <s v="Apr"/>
          <s v="May"/>
          <s v="Jun"/>
          <s v="Jul"/>
          <s v="Aug"/>
          <s v="Sep"/>
          <s v="Oct"/>
          <s v="Nov"/>
          <s v="Dec"/>
          <s v="&gt;21-02-2026"/>
        </groupItems>
      </fieldGroup>
    </cacheField>
    <cacheField name="Quarters (Date)" numFmtId="0" databaseField="0">
      <fieldGroup base="1">
        <rangePr groupBy="quarters" startDate="2025-06-02T00:00:00" endDate="2026-02-21T00:00:00"/>
        <groupItems count="6">
          <s v="&lt;02-06-2025"/>
          <s v="Qtr1"/>
          <s v="Qtr2"/>
          <s v="Qtr3"/>
          <s v="Qtr4"/>
          <s v="&gt;21-02-2026"/>
        </groupItems>
      </fieldGroup>
    </cacheField>
    <cacheField name="Years (Date)" numFmtId="0" databaseField="0">
      <fieldGroup base="1">
        <rangePr groupBy="years" startDate="2025-06-02T00:00:00" endDate="2026-02-21T00:00:00"/>
        <groupItems count="4">
          <s v="&lt;02-06-2025"/>
          <s v="2025"/>
          <s v="2026"/>
          <s v="&gt;21-02-2026"/>
        </groupItems>
      </fieldGroup>
    </cacheField>
  </cacheFields>
  <extLst>
    <ext xmlns:x14="http://schemas.microsoft.com/office/spreadsheetml/2009/9/main" uri="{725AE2AE-9491-48be-B2B4-4EB974FC3084}">
      <x14:pivotCacheDefinition pivotCacheId="21398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ASX-1010"/>
    <x v="0"/>
    <x v="0"/>
    <x v="0"/>
    <x v="0"/>
    <n v="14"/>
    <n v="199.99"/>
    <x v="0"/>
    <n v="8.89"/>
    <x v="0"/>
    <s v=""/>
    <n v="3168.7319999999995"/>
  </r>
  <r>
    <s v="ASX-1013"/>
    <x v="1"/>
    <x v="1"/>
    <x v="0"/>
    <x v="0"/>
    <n v="12"/>
    <n v="199.99"/>
    <x v="1"/>
    <n v="6.02"/>
    <x v="1"/>
    <s v=""/>
    <n v="2685.886"/>
  </r>
  <r>
    <s v="ASX-1033"/>
    <x v="2"/>
    <x v="2"/>
    <x v="0"/>
    <x v="1"/>
    <n v="12"/>
    <n v="199.99"/>
    <x v="1"/>
    <n v="21.84"/>
    <x v="0"/>
    <s v=""/>
    <n v="2701.7060000000001"/>
  </r>
  <r>
    <s v="ASX-1018"/>
    <x v="3"/>
    <x v="1"/>
    <x v="0"/>
    <x v="2"/>
    <n v="7"/>
    <n v="199.99"/>
    <x v="1"/>
    <n v="18.440000000000001"/>
    <x v="0"/>
    <s v=""/>
    <n v="1498.366"/>
  </r>
  <r>
    <s v="ASX-1047"/>
    <x v="4"/>
    <x v="0"/>
    <x v="0"/>
    <x v="2"/>
    <n v="7"/>
    <n v="199.99"/>
    <x v="1"/>
    <n v="6.62"/>
    <x v="1"/>
    <s v=""/>
    <n v="1486.5459999999998"/>
  </r>
  <r>
    <s v="ASX-1027"/>
    <x v="5"/>
    <x v="2"/>
    <x v="0"/>
    <x v="3"/>
    <n v="2"/>
    <n v="199.99"/>
    <x v="2"/>
    <n v="15.74"/>
    <x v="0"/>
    <s v=""/>
    <n v="295.726"/>
  </r>
  <r>
    <s v="ASX-1014"/>
    <x v="6"/>
    <x v="3"/>
    <x v="1"/>
    <x v="0"/>
    <n v="10"/>
    <n v="199.99"/>
    <x v="1"/>
    <n v="22.73"/>
    <x v="2"/>
    <n v="2222.6200000000003"/>
    <n v="0"/>
  </r>
  <r>
    <s v="ASX-1032"/>
    <x v="7"/>
    <x v="2"/>
    <x v="0"/>
    <x v="3"/>
    <n v="9"/>
    <n v="199.99"/>
    <x v="0"/>
    <n v="14.15"/>
    <x v="2"/>
    <n v="1974.0519999999999"/>
    <n v="0"/>
  </r>
  <r>
    <s v="ASX-1029"/>
    <x v="8"/>
    <x v="2"/>
    <x v="0"/>
    <x v="2"/>
    <n v="6"/>
    <n v="199.99"/>
    <x v="1"/>
    <n v="21.56"/>
    <x v="2"/>
    <n v="1261.498"/>
    <n v="0"/>
  </r>
  <r>
    <s v="ASX-1004"/>
    <x v="9"/>
    <x v="1"/>
    <x v="2"/>
    <x v="0"/>
    <n v="6"/>
    <n v="199.99"/>
    <x v="1"/>
    <n v="13.4"/>
    <x v="2"/>
    <n v="1253.3380000000002"/>
    <n v="0"/>
  </r>
  <r>
    <s v="ASX-1045"/>
    <x v="10"/>
    <x v="3"/>
    <x v="0"/>
    <x v="2"/>
    <n v="3"/>
    <n v="199.99"/>
    <x v="1"/>
    <n v="10.02"/>
    <x v="2"/>
    <n v="529.99400000000003"/>
    <n v="0"/>
  </r>
  <r>
    <s v="ASX-1019"/>
    <x v="11"/>
    <x v="0"/>
    <x v="2"/>
    <x v="2"/>
    <n v="11"/>
    <n v="150"/>
    <x v="1"/>
    <n v="11.56"/>
    <x v="1"/>
    <s v=""/>
    <n v="1841.56"/>
  </r>
  <r>
    <s v="ASX-1043"/>
    <x v="12"/>
    <x v="0"/>
    <x v="2"/>
    <x v="1"/>
    <n v="10"/>
    <n v="150"/>
    <x v="1"/>
    <n v="13.67"/>
    <x v="0"/>
    <s v=""/>
    <n v="1663.67"/>
  </r>
  <r>
    <s v="ASX-1049"/>
    <x v="13"/>
    <x v="0"/>
    <x v="2"/>
    <x v="3"/>
    <n v="9"/>
    <n v="150"/>
    <x v="3"/>
    <n v="18.77"/>
    <x v="1"/>
    <s v=""/>
    <n v="1488.77"/>
  </r>
  <r>
    <s v="ASX-1020"/>
    <x v="14"/>
    <x v="2"/>
    <x v="0"/>
    <x v="2"/>
    <n v="8"/>
    <n v="150"/>
    <x v="4"/>
    <n v="8.1"/>
    <x v="0"/>
    <s v=""/>
    <n v="1298.0999999999999"/>
  </r>
  <r>
    <s v="ASX-1038"/>
    <x v="15"/>
    <x v="3"/>
    <x v="0"/>
    <x v="2"/>
    <n v="4"/>
    <n v="150"/>
    <x v="1"/>
    <n v="7.65"/>
    <x v="2"/>
    <n v="577.65"/>
    <n v="0"/>
  </r>
  <r>
    <s v="ASX-1016"/>
    <x v="16"/>
    <x v="3"/>
    <x v="0"/>
    <x v="1"/>
    <n v="7"/>
    <n v="129.5"/>
    <x v="4"/>
    <n v="16.579999999999998"/>
    <x v="0"/>
    <s v=""/>
    <n v="974.88"/>
  </r>
  <r>
    <s v="ASX-1011"/>
    <x v="17"/>
    <x v="3"/>
    <x v="1"/>
    <x v="0"/>
    <n v="2"/>
    <n v="129.5"/>
    <x v="1"/>
    <n v="6.42"/>
    <x v="0"/>
    <s v=""/>
    <n v="187.72"/>
  </r>
  <r>
    <s v="ASX-1007"/>
    <x v="18"/>
    <x v="0"/>
    <x v="1"/>
    <x v="4"/>
    <n v="1"/>
    <n v="129.5"/>
    <x v="4"/>
    <n v="6.63"/>
    <x v="0"/>
    <s v=""/>
    <n v="32.530000000000008"/>
  </r>
  <r>
    <s v="ASX-1039"/>
    <x v="19"/>
    <x v="3"/>
    <x v="0"/>
    <x v="2"/>
    <n v="12"/>
    <n v="129.5"/>
    <x v="1"/>
    <n v="24.39"/>
    <x v="2"/>
    <n v="1759.69"/>
    <n v="0"/>
  </r>
  <r>
    <s v="ASX-1040"/>
    <x v="20"/>
    <x v="3"/>
    <x v="2"/>
    <x v="1"/>
    <n v="11"/>
    <n v="129.5"/>
    <x v="3"/>
    <n v="19.29"/>
    <x v="2"/>
    <n v="1599.1899999999998"/>
    <n v="0"/>
  </r>
  <r>
    <s v="ASX-1041"/>
    <x v="21"/>
    <x v="0"/>
    <x v="2"/>
    <x v="0"/>
    <n v="4"/>
    <n v="129.5"/>
    <x v="0"/>
    <n v="5.82"/>
    <x v="2"/>
    <n v="497.92"/>
    <n v="0"/>
  </r>
  <r>
    <s v="ASX-1001"/>
    <x v="22"/>
    <x v="1"/>
    <x v="1"/>
    <x v="4"/>
    <n v="2"/>
    <n v="129.5"/>
    <x v="1"/>
    <n v="19.18"/>
    <x v="2"/>
    <n v="200.48000000000002"/>
    <n v="0"/>
  </r>
  <r>
    <s v="ASX-1008"/>
    <x v="23"/>
    <x v="3"/>
    <x v="2"/>
    <x v="2"/>
    <n v="1"/>
    <n v="129.5"/>
    <x v="1"/>
    <n v="5.0999999999999996"/>
    <x v="2"/>
    <n v="31.000000000000007"/>
    <n v="0"/>
  </r>
  <r>
    <s v="ASX-1036"/>
    <x v="24"/>
    <x v="3"/>
    <x v="2"/>
    <x v="2"/>
    <n v="13"/>
    <n v="89"/>
    <x v="1"/>
    <n v="18.989999999999998"/>
    <x v="1"/>
    <s v=""/>
    <n v="1318.3899999999999"/>
  </r>
  <r>
    <s v="ASX-1030"/>
    <x v="9"/>
    <x v="0"/>
    <x v="0"/>
    <x v="4"/>
    <n v="11"/>
    <n v="89"/>
    <x v="4"/>
    <n v="10.43"/>
    <x v="0"/>
    <s v=""/>
    <n v="1096.23"/>
  </r>
  <r>
    <s v="ASX-1034"/>
    <x v="25"/>
    <x v="0"/>
    <x v="1"/>
    <x v="0"/>
    <n v="11"/>
    <n v="89"/>
    <x v="1"/>
    <n v="8.89"/>
    <x v="1"/>
    <s v=""/>
    <n v="1094.69"/>
  </r>
  <r>
    <s v="ASX-1024"/>
    <x v="26"/>
    <x v="3"/>
    <x v="2"/>
    <x v="0"/>
    <n v="8"/>
    <n v="89"/>
    <x v="1"/>
    <n v="10.01"/>
    <x v="1"/>
    <s v=""/>
    <n v="775.41"/>
  </r>
  <r>
    <s v="ASX-1009"/>
    <x v="27"/>
    <x v="1"/>
    <x v="0"/>
    <x v="4"/>
    <n v="3"/>
    <n v="89"/>
    <x v="4"/>
    <n v="17.559999999999999"/>
    <x v="0"/>
    <s v=""/>
    <n v="248.95999999999998"/>
  </r>
  <r>
    <s v="ASX-1042"/>
    <x v="28"/>
    <x v="0"/>
    <x v="1"/>
    <x v="0"/>
    <n v="3"/>
    <n v="89"/>
    <x v="1"/>
    <n v="12.98"/>
    <x v="0"/>
    <s v=""/>
    <n v="244.37999999999997"/>
  </r>
  <r>
    <s v="ASX-1003"/>
    <x v="29"/>
    <x v="3"/>
    <x v="1"/>
    <x v="3"/>
    <n v="12"/>
    <n v="89"/>
    <x v="2"/>
    <n v="10.93"/>
    <x v="2"/>
    <n v="1203.53"/>
    <n v="0"/>
  </r>
  <r>
    <s v="ASX-1021"/>
    <x v="30"/>
    <x v="3"/>
    <x v="1"/>
    <x v="2"/>
    <n v="11"/>
    <n v="89"/>
    <x v="2"/>
    <n v="24.64"/>
    <x v="2"/>
    <n v="1110.44"/>
    <n v="0"/>
  </r>
  <r>
    <s v="ASX-1025"/>
    <x v="31"/>
    <x v="3"/>
    <x v="1"/>
    <x v="4"/>
    <n v="5"/>
    <n v="89"/>
    <x v="1"/>
    <n v="5.78"/>
    <x v="2"/>
    <n v="450.78"/>
    <n v="0"/>
  </r>
  <r>
    <s v="ASX-1026"/>
    <x v="32"/>
    <x v="3"/>
    <x v="0"/>
    <x v="2"/>
    <n v="4"/>
    <n v="89"/>
    <x v="3"/>
    <n v="11.07"/>
    <x v="2"/>
    <n v="349.27"/>
    <n v="0"/>
  </r>
  <r>
    <s v="ASX-1023"/>
    <x v="33"/>
    <x v="2"/>
    <x v="2"/>
    <x v="2"/>
    <n v="6"/>
    <n v="49.99"/>
    <x v="0"/>
    <n v="22.21"/>
    <x v="0"/>
    <s v=""/>
    <n v="332.14799999999997"/>
  </r>
  <r>
    <s v="ASX-1028"/>
    <x v="17"/>
    <x v="2"/>
    <x v="1"/>
    <x v="3"/>
    <n v="6"/>
    <n v="49.99"/>
    <x v="0"/>
    <n v="11.53"/>
    <x v="1"/>
    <s v=""/>
    <n v="321.46799999999996"/>
  </r>
  <r>
    <s v="ASX-1006"/>
    <x v="34"/>
    <x v="3"/>
    <x v="2"/>
    <x v="1"/>
    <n v="5"/>
    <n v="49.99"/>
    <x v="4"/>
    <n v="17.23"/>
    <x v="0"/>
    <s v=""/>
    <n v="267.18"/>
  </r>
  <r>
    <s v="ASX-1044"/>
    <x v="35"/>
    <x v="2"/>
    <x v="0"/>
    <x v="3"/>
    <n v="3"/>
    <n v="49.99"/>
    <x v="4"/>
    <n v="19.88"/>
    <x v="1"/>
    <s v=""/>
    <n v="149.85399999999998"/>
  </r>
  <r>
    <s v="ASX-1022"/>
    <x v="36"/>
    <x v="1"/>
    <x v="0"/>
    <x v="3"/>
    <n v="1"/>
    <n v="49.99"/>
    <x v="1"/>
    <n v="21.78"/>
    <x v="1"/>
    <s v=""/>
    <n v="31.777999999999999"/>
  </r>
  <r>
    <s v="ASX-1005"/>
    <x v="37"/>
    <x v="0"/>
    <x v="0"/>
    <x v="1"/>
    <n v="7"/>
    <n v="49.99"/>
    <x v="4"/>
    <n v="10.119999999999999"/>
    <x v="2"/>
    <n v="380.04599999999999"/>
    <n v="0"/>
  </r>
  <r>
    <s v="ASX-1035"/>
    <x v="38"/>
    <x v="2"/>
    <x v="1"/>
    <x v="3"/>
    <n v="6"/>
    <n v="49.99"/>
    <x v="1"/>
    <n v="13.23"/>
    <x v="2"/>
    <n v="323.16800000000001"/>
    <n v="0"/>
  </r>
  <r>
    <s v="ASX-1015"/>
    <x v="39"/>
    <x v="2"/>
    <x v="0"/>
    <x v="3"/>
    <n v="6"/>
    <n v="49.99"/>
    <x v="4"/>
    <n v="5.55"/>
    <x v="2"/>
    <n v="315.488"/>
    <n v="0"/>
  </r>
  <r>
    <s v="ASX-1012"/>
    <x v="40"/>
    <x v="2"/>
    <x v="2"/>
    <x v="0"/>
    <n v="5"/>
    <n v="49.99"/>
    <x v="0"/>
    <n v="12.94"/>
    <x v="2"/>
    <n v="262.89"/>
    <n v="0"/>
  </r>
  <r>
    <s v="ASX-1017"/>
    <x v="41"/>
    <x v="2"/>
    <x v="2"/>
    <x v="0"/>
    <n v="4"/>
    <n v="49.99"/>
    <x v="3"/>
    <n v="13.77"/>
    <x v="2"/>
    <n v="203.732"/>
    <n v="0"/>
  </r>
  <r>
    <s v="ASX-1048"/>
    <x v="42"/>
    <x v="2"/>
    <x v="0"/>
    <x v="2"/>
    <n v="4"/>
    <n v="49.99"/>
    <x v="1"/>
    <n v="13.57"/>
    <x v="2"/>
    <n v="203.53199999999998"/>
    <n v="0"/>
  </r>
  <r>
    <s v="ASX-1046"/>
    <x v="43"/>
    <x v="0"/>
    <x v="2"/>
    <x v="4"/>
    <n v="4"/>
    <n v="49.99"/>
    <x v="1"/>
    <n v="8.69"/>
    <x v="2"/>
    <n v="198.65199999999999"/>
    <n v="0"/>
  </r>
  <r>
    <s v="ASX-1037"/>
    <x v="44"/>
    <x v="2"/>
    <x v="0"/>
    <x v="0"/>
    <n v="3"/>
    <n v="49.99"/>
    <x v="1"/>
    <n v="7.77"/>
    <x v="2"/>
    <n v="137.744"/>
    <n v="0"/>
  </r>
  <r>
    <s v="ASX-1002"/>
    <x v="45"/>
    <x v="1"/>
    <x v="0"/>
    <x v="3"/>
    <n v="2"/>
    <n v="49.99"/>
    <x v="2"/>
    <n v="16.059999999999999"/>
    <x v="2"/>
    <n v="86.045999999999992"/>
    <n v="0"/>
  </r>
  <r>
    <s v="ASX-1031"/>
    <x v="46"/>
    <x v="2"/>
    <x v="2"/>
    <x v="2"/>
    <n v="1"/>
    <n v="49.99"/>
    <x v="4"/>
    <n v="24.31"/>
    <x v="2"/>
    <n v="34.307999999999993"/>
    <n v="0"/>
  </r>
  <r>
    <s v="ASX-1000"/>
    <x v="37"/>
    <x v="1"/>
    <x v="2"/>
    <x v="0"/>
    <n v="1"/>
    <n v="49.99"/>
    <x v="1"/>
    <n v="7.73"/>
    <x v="2"/>
    <n v="17.72799999999999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F9CBDB-499E-4A0E-9F35-29616C62E056}"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2" rowHeaderCaption="" colHeaderCaption="Segment-">
  <location ref="A17:D24" firstHeaderRow="0" firstDataRow="1" firstDataCol="1"/>
  <pivotFields count="15">
    <pivotField showAll="0"/>
    <pivotField axis="axisRow" numFmtId="14" showAll="0">
      <items count="48">
        <item x="12"/>
        <item x="2"/>
        <item x="9"/>
        <item x="16"/>
        <item x="19"/>
        <item x="13"/>
        <item x="11"/>
        <item x="28"/>
        <item x="31"/>
        <item x="24"/>
        <item x="35"/>
        <item x="32"/>
        <item x="14"/>
        <item x="45"/>
        <item x="21"/>
        <item x="23"/>
        <item x="7"/>
        <item x="44"/>
        <item x="27"/>
        <item x="37"/>
        <item x="10"/>
        <item x="22"/>
        <item x="34"/>
        <item x="17"/>
        <item x="8"/>
        <item x="40"/>
        <item x="0"/>
        <item x="39"/>
        <item x="46"/>
        <item x="30"/>
        <item x="26"/>
        <item x="36"/>
        <item x="29"/>
        <item x="33"/>
        <item x="4"/>
        <item x="6"/>
        <item x="20"/>
        <item x="18"/>
        <item x="42"/>
        <item x="3"/>
        <item x="25"/>
        <item x="5"/>
        <item x="41"/>
        <item x="1"/>
        <item x="43"/>
        <item x="15"/>
        <item x="38"/>
        <item t="default"/>
      </items>
    </pivotField>
    <pivotField showAll="0">
      <items count="5">
        <item x="0"/>
        <item x="1"/>
        <item x="3"/>
        <item x="2"/>
        <item t="default"/>
      </items>
    </pivotField>
    <pivotField showAll="0"/>
    <pivotField showAll="0">
      <items count="6">
        <item x="2"/>
        <item x="4"/>
        <item x="3"/>
        <item x="0"/>
        <item x="1"/>
        <item t="default"/>
      </items>
    </pivotField>
    <pivotField dataField="1" showAll="0"/>
    <pivotField dataField="1" showAll="0"/>
    <pivotField numFmtId="9" showAll="0"/>
    <pivotField numFmtId="2" showAll="0"/>
    <pivotField showAll="0">
      <items count="4">
        <item x="0"/>
        <item x="1"/>
        <item x="2"/>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4">
    <field x="14"/>
    <field x="13"/>
    <field x="12"/>
    <field x="1"/>
  </rowFields>
  <rowItems count="7">
    <i>
      <x v="1"/>
    </i>
    <i r="1">
      <x v="2"/>
    </i>
    <i r="1">
      <x v="3"/>
    </i>
    <i r="1">
      <x v="4"/>
    </i>
    <i>
      <x v="2"/>
    </i>
    <i r="1">
      <x v="1"/>
    </i>
    <i t="grand">
      <x/>
    </i>
  </rowItems>
  <colFields count="1">
    <field x="-2"/>
  </colFields>
  <colItems count="3">
    <i>
      <x/>
    </i>
    <i i="1">
      <x v="1"/>
    </i>
    <i i="2">
      <x v="2"/>
    </i>
  </colItems>
  <dataFields count="3">
    <dataField name="Average of Sales" fld="10" subtotal="average" baseField="12" baseItem="10"/>
    <dataField name="Average of Unit_Price" fld="6" subtotal="average" baseField="0" baseItem="0"/>
    <dataField name="Average of Units" fld="5" subtotal="average" baseField="0" baseItem="0"/>
  </dataFields>
  <chartFormats count="4">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s>
  <pivotTableStyleInfo name="PivotStyleLight15" showRowHeaders="1" showColHeaders="1" showRowStripes="0" showColStripes="0" showLastColumn="1"/>
  <filters count="1">
    <filter fld="1" type="dateBetween" evalOrder="-1" id="76" name="Date">
      <autoFilter ref="A1">
        <filterColumn colId="0">
          <customFilters and="1">
            <customFilter operator="greaterThanOrEqual" val="4565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B080E0-B6A3-40A8-AFD1-ED4E8A1D6AC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Product" colHeaderCaption="Segment-">
  <location ref="A30:D36" firstHeaderRow="0" firstDataRow="1" firstDataCol="1"/>
  <pivotFields count="15">
    <pivotField showAll="0"/>
    <pivotField numFmtId="14" showAll="0">
      <items count="48">
        <item x="12"/>
        <item x="2"/>
        <item x="9"/>
        <item x="16"/>
        <item x="19"/>
        <item x="13"/>
        <item x="11"/>
        <item x="28"/>
        <item x="31"/>
        <item x="24"/>
        <item x="35"/>
        <item x="32"/>
        <item x="14"/>
        <item x="45"/>
        <item x="21"/>
        <item x="23"/>
        <item x="7"/>
        <item x="44"/>
        <item x="27"/>
        <item x="37"/>
        <item x="10"/>
        <item x="22"/>
        <item x="34"/>
        <item x="17"/>
        <item x="8"/>
        <item x="40"/>
        <item x="0"/>
        <item x="39"/>
        <item x="46"/>
        <item x="30"/>
        <item x="26"/>
        <item x="36"/>
        <item x="29"/>
        <item x="33"/>
        <item x="4"/>
        <item x="6"/>
        <item x="20"/>
        <item x="18"/>
        <item x="42"/>
        <item x="3"/>
        <item x="25"/>
        <item x="5"/>
        <item x="41"/>
        <item x="1"/>
        <item x="43"/>
        <item x="15"/>
        <item x="38"/>
        <item t="default"/>
      </items>
    </pivotField>
    <pivotField showAll="0">
      <items count="5">
        <item x="0"/>
        <item x="1"/>
        <item x="3"/>
        <item x="2"/>
        <item t="default"/>
      </items>
    </pivotField>
    <pivotField showAll="0"/>
    <pivotField axis="axisRow" showAll="0">
      <items count="6">
        <item x="2"/>
        <item x="4"/>
        <item x="3"/>
        <item x="0"/>
        <item x="1"/>
        <item t="default"/>
      </items>
    </pivotField>
    <pivotField showAll="0"/>
    <pivotField dataField="1" showAll="0"/>
    <pivotField numFmtId="9" showAll="0"/>
    <pivotField dataField="1" numFmtId="2" showAll="0"/>
    <pivotField showAll="0">
      <items count="4">
        <item x="0"/>
        <item x="1"/>
        <item x="2"/>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3">
    <i>
      <x/>
    </i>
    <i i="1">
      <x v="1"/>
    </i>
    <i i="2">
      <x v="2"/>
    </i>
  </colItems>
  <dataFields count="3">
    <dataField name="Average Unit Price" fld="6" subtotal="average" baseField="4" baseItem="0"/>
    <dataField name="Average of Shipping_Fee" fld="8" subtotal="average" baseField="4" baseItem="3" numFmtId="2"/>
    <dataField name="Average Sale Value" fld="10" subtotal="average" baseField="4" baseItem="0"/>
  </dataFields>
  <chartFormats count="3">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5" showRowHeaders="1" showColHeaders="1" showRowStripes="0" showColStripes="0" showLastColumn="1"/>
  <filters count="1">
    <filter fld="1" type="dateBetween" evalOrder="-1" id="76" name="Date">
      <autoFilter ref="A1">
        <filterColumn colId="0">
          <customFilters and="1">
            <customFilter operator="greaterThanOrEqual" val="4565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531DEC-D24B-4783-A43C-DF8B28CAD1B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rowHeaderCaption="" colHeaderCaption="Segment-">
  <location ref="G3:H15" firstHeaderRow="1" firstDataRow="1" firstDataCol="1"/>
  <pivotFields count="15">
    <pivotField showAll="0"/>
    <pivotField numFmtId="14" showAll="0">
      <items count="48">
        <item x="12"/>
        <item x="2"/>
        <item x="9"/>
        <item x="16"/>
        <item x="19"/>
        <item x="13"/>
        <item x="11"/>
        <item x="28"/>
        <item x="31"/>
        <item x="24"/>
        <item x="35"/>
        <item x="32"/>
        <item x="14"/>
        <item x="45"/>
        <item x="21"/>
        <item x="23"/>
        <item x="7"/>
        <item x="44"/>
        <item x="27"/>
        <item x="37"/>
        <item x="10"/>
        <item x="22"/>
        <item x="34"/>
        <item x="17"/>
        <item x="8"/>
        <item x="40"/>
        <item x="0"/>
        <item x="39"/>
        <item x="46"/>
        <item x="30"/>
        <item x="26"/>
        <item x="36"/>
        <item x="29"/>
        <item x="33"/>
        <item x="4"/>
        <item x="6"/>
        <item x="20"/>
        <item x="18"/>
        <item x="42"/>
        <item x="3"/>
        <item x="25"/>
        <item x="5"/>
        <item x="41"/>
        <item x="1"/>
        <item x="43"/>
        <item x="15"/>
        <item x="38"/>
        <item t="default"/>
      </items>
    </pivotField>
    <pivotField showAll="0">
      <items count="5">
        <item x="0"/>
        <item x="1"/>
        <item x="3"/>
        <item x="2"/>
        <item t="default"/>
      </items>
    </pivotField>
    <pivotField showAll="0"/>
    <pivotField showAll="0">
      <items count="6">
        <item x="2"/>
        <item x="4"/>
        <item x="3"/>
        <item x="0"/>
        <item x="1"/>
        <item t="default"/>
      </items>
    </pivotField>
    <pivotField showAll="0"/>
    <pivotField showAll="0"/>
    <pivotField numFmtId="9" showAll="0"/>
    <pivotField numFmtId="2" showAll="0"/>
    <pivotField showAll="0">
      <items count="4">
        <item x="0"/>
        <item x="1"/>
        <item x="2"/>
        <item t="default"/>
      </items>
    </pivotField>
    <pivotField dataField="1" showAll="0"/>
    <pivotField showAll="0"/>
    <pivotField axis="axisRow" showAll="0">
      <items count="15">
        <item sd="0" x="0"/>
        <item x="1"/>
        <item x="2"/>
        <item sd="0" x="3"/>
        <item sd="0" x="4"/>
        <item sd="0" x="5"/>
        <item x="6"/>
        <item x="7"/>
        <item sd="0" x="8"/>
        <item x="9"/>
        <item x="10"/>
        <item x="11"/>
        <item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4"/>
    <field x="12"/>
  </rowFields>
  <rowItems count="12">
    <i>
      <x v="1"/>
    </i>
    <i r="1">
      <x v="6"/>
    </i>
    <i r="1">
      <x v="7"/>
    </i>
    <i r="1">
      <x v="8"/>
    </i>
    <i r="1">
      <x v="9"/>
    </i>
    <i r="1">
      <x v="10"/>
    </i>
    <i r="1">
      <x v="11"/>
    </i>
    <i r="1">
      <x v="12"/>
    </i>
    <i>
      <x v="2"/>
    </i>
    <i r="1">
      <x v="1"/>
    </i>
    <i r="1">
      <x v="2"/>
    </i>
    <i t="grand">
      <x/>
    </i>
  </rowItems>
  <colItems count="1">
    <i/>
  </colItems>
  <dataFields count="1">
    <dataField name="Sum of Sales" fld="10" baseField="12" baseItem="1"/>
  </dataFields>
  <pivotTableStyleInfo name="PivotStyleLight15" showRowHeaders="1" showColHeaders="1" showRowStripes="0" showColStripes="0" showLastColumn="1"/>
  <filters count="1">
    <filter fld="1" type="dateBetween" evalOrder="-1" id="76" name="Date">
      <autoFilter ref="A1">
        <filterColumn colId="0">
          <customFilters and="1">
            <customFilter operator="greaterThanOrEqual" val="4565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76934F-C411-42E8-A1DD-1338C5F99ED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oduct" colHeaderCaption="Segment-">
  <location ref="A3:E10" firstHeaderRow="1" firstDataRow="2" firstDataCol="1"/>
  <pivotFields count="15">
    <pivotField showAll="0"/>
    <pivotField numFmtId="14" showAll="0">
      <items count="48">
        <item x="12"/>
        <item x="2"/>
        <item x="9"/>
        <item x="16"/>
        <item x="19"/>
        <item x="13"/>
        <item x="11"/>
        <item x="28"/>
        <item x="31"/>
        <item x="24"/>
        <item x="35"/>
        <item x="32"/>
        <item x="14"/>
        <item x="45"/>
        <item x="21"/>
        <item x="23"/>
        <item x="7"/>
        <item x="44"/>
        <item x="27"/>
        <item x="37"/>
        <item x="10"/>
        <item x="22"/>
        <item x="34"/>
        <item x="17"/>
        <item x="8"/>
        <item x="40"/>
        <item x="0"/>
        <item x="39"/>
        <item x="46"/>
        <item x="30"/>
        <item x="26"/>
        <item x="36"/>
        <item x="29"/>
        <item x="33"/>
        <item x="4"/>
        <item x="6"/>
        <item x="20"/>
        <item x="18"/>
        <item x="42"/>
        <item x="3"/>
        <item x="25"/>
        <item x="5"/>
        <item x="41"/>
        <item x="1"/>
        <item x="43"/>
        <item x="15"/>
        <item x="38"/>
        <item t="default"/>
      </items>
    </pivotField>
    <pivotField showAll="0">
      <items count="5">
        <item x="0"/>
        <item x="1"/>
        <item x="3"/>
        <item x="2"/>
        <item t="default"/>
      </items>
    </pivotField>
    <pivotField axis="axisCol" showAll="0">
      <items count="4">
        <item x="2"/>
        <item x="1"/>
        <item x="0"/>
        <item t="default"/>
      </items>
    </pivotField>
    <pivotField axis="axisRow" showAll="0">
      <items count="6">
        <item x="2"/>
        <item x="4"/>
        <item x="3"/>
        <item x="0"/>
        <item x="1"/>
        <item t="default"/>
      </items>
    </pivotField>
    <pivotField showAll="0"/>
    <pivotField showAll="0"/>
    <pivotField numFmtId="9" showAll="0">
      <items count="6">
        <item x="1"/>
        <item x="4"/>
        <item x="2"/>
        <item x="3"/>
        <item x="0"/>
        <item t="default"/>
      </items>
    </pivotField>
    <pivotField numFmtId="2" showAll="0"/>
    <pivotField showAll="0">
      <items count="4">
        <item x="0"/>
        <item x="1"/>
        <item x="2"/>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3"/>
  </colFields>
  <colItems count="4">
    <i>
      <x/>
    </i>
    <i>
      <x v="1"/>
    </i>
    <i>
      <x v="2"/>
    </i>
    <i t="grand">
      <x/>
    </i>
  </colItems>
  <dataFields count="1">
    <dataField name="Sum of Sales" fld="10" baseField="4" baseItem="0"/>
  </dataFields>
  <formats count="19">
    <format dxfId="21">
      <pivotArea dataOnly="0" labelOnly="1" fieldPosition="0">
        <references count="1">
          <reference field="3" count="1">
            <x v="0"/>
          </reference>
        </references>
      </pivotArea>
    </format>
    <format dxfId="20">
      <pivotArea dataOnly="0" labelOnly="1" fieldPosition="0">
        <references count="1">
          <reference field="3" count="1">
            <x v="0"/>
          </reference>
        </references>
      </pivotArea>
    </format>
    <format dxfId="19">
      <pivotArea dataOnly="0" labelOnly="1" fieldPosition="0">
        <references count="1">
          <reference field="3" count="1">
            <x v="1"/>
          </reference>
        </references>
      </pivotArea>
    </format>
    <format dxfId="18">
      <pivotArea dataOnly="0" labelOnly="1" fieldPosition="0">
        <references count="1">
          <reference field="3" count="1">
            <x v="1"/>
          </reference>
        </references>
      </pivotArea>
    </format>
    <format dxfId="17">
      <pivotArea dataOnly="0" labelOnly="1" fieldPosition="0">
        <references count="1">
          <reference field="3" count="1">
            <x v="2"/>
          </reference>
        </references>
      </pivotArea>
    </format>
    <format dxfId="16">
      <pivotArea field="3" dataOnly="0" labelOnly="1" grandCol="1" outline="0" axis="axisCol" fieldPosition="0">
        <references count="1">
          <reference field="4294967294" count="1" selected="0">
            <x v="0"/>
          </reference>
        </references>
      </pivotArea>
    </format>
    <format dxfId="15">
      <pivotArea collapsedLevelsAreSubtotals="1" fieldPosition="0">
        <references count="3">
          <reference field="4294967294" count="1" selected="0">
            <x v="0"/>
          </reference>
          <reference field="3" count="1" selected="0">
            <x v="0"/>
          </reference>
          <reference field="4" count="0"/>
        </references>
      </pivotArea>
    </format>
    <format dxfId="14">
      <pivotArea collapsedLevelsAreSubtotals="1" fieldPosition="0">
        <references count="3">
          <reference field="4294967294" count="1" selected="0">
            <x v="0"/>
          </reference>
          <reference field="3" count="1" selected="0">
            <x v="1"/>
          </reference>
          <reference field="4" count="0"/>
        </references>
      </pivotArea>
    </format>
    <format dxfId="13">
      <pivotArea collapsedLevelsAreSubtotals="1" fieldPosition="0">
        <references count="3">
          <reference field="4294967294" count="1" selected="0">
            <x v="0"/>
          </reference>
          <reference field="3" count="1" selected="0">
            <x v="2"/>
          </reference>
          <reference field="4" count="0"/>
        </references>
      </pivotArea>
    </format>
    <format dxfId="12">
      <pivotArea collapsedLevelsAreSubtotals="1" fieldPosition="0">
        <references count="3">
          <reference field="4294967294" count="1" selected="0">
            <x v="0"/>
          </reference>
          <reference field="3" count="0" selected="0"/>
          <reference field="4" count="0"/>
        </references>
      </pivotArea>
    </format>
    <format dxfId="11">
      <pivotArea collapsedLevelsAreSubtotals="1" fieldPosition="0">
        <references count="3">
          <reference field="4294967294" count="1" selected="0">
            <x v="0"/>
          </reference>
          <reference field="3" count="0" selected="0"/>
          <reference field="4" count="0"/>
        </references>
      </pivotArea>
    </format>
    <format dxfId="10">
      <pivotArea dataOnly="0" labelOnly="1" outline="0" fieldPosition="0">
        <references count="2">
          <reference field="4294967294" count="1">
            <x v="0"/>
          </reference>
          <reference field="3" count="1" selected="0">
            <x v="0"/>
          </reference>
        </references>
      </pivotArea>
    </format>
    <format dxfId="9">
      <pivotArea dataOnly="0" labelOnly="1" outline="0" fieldPosition="0">
        <references count="2">
          <reference field="4294967294" count="1">
            <x v="0"/>
          </reference>
          <reference field="3" count="1" selected="0">
            <x v="1"/>
          </reference>
        </references>
      </pivotArea>
    </format>
    <format dxfId="8">
      <pivotArea dataOnly="0" labelOnly="1" outline="0" fieldPosition="0">
        <references count="2">
          <reference field="4294967294" count="1">
            <x v="0"/>
          </reference>
          <reference field="3" count="1" selected="0">
            <x v="2"/>
          </reference>
        </references>
      </pivotArea>
    </format>
    <format dxfId="7">
      <pivotArea collapsedLevelsAreSubtotals="1" fieldPosition="0">
        <references count="3">
          <reference field="4294967294" count="1" selected="0">
            <x v="0"/>
          </reference>
          <reference field="3" count="1" selected="0">
            <x v="1"/>
          </reference>
          <reference field="4" count="0"/>
        </references>
      </pivotArea>
    </format>
    <format dxfId="6">
      <pivotArea dataOnly="0" labelOnly="1" outline="0" fieldPosition="0">
        <references count="2">
          <reference field="4294967294" count="1">
            <x v="0"/>
          </reference>
          <reference field="3" count="1" selected="0">
            <x v="2"/>
          </reference>
        </references>
      </pivotArea>
    </format>
    <format dxfId="5">
      <pivotArea dataOnly="0" labelOnly="1" outline="0" fieldPosition="0">
        <references count="2">
          <reference field="4294967294" count="1">
            <x v="0"/>
          </reference>
          <reference field="3" count="1" selected="0">
            <x v="1"/>
          </reference>
        </references>
      </pivotArea>
    </format>
    <format dxfId="4">
      <pivotArea dataOnly="0" labelOnly="1" outline="0" fieldPosition="0">
        <references count="2">
          <reference field="4294967294" count="1">
            <x v="0"/>
          </reference>
          <reference field="3" count="1" selected="0">
            <x v="0"/>
          </reference>
        </references>
      </pivotArea>
    </format>
    <format dxfId="3">
      <pivotArea collapsedLevelsAreSubtotals="1" fieldPosition="0">
        <references count="3">
          <reference field="4294967294" count="1" selected="0">
            <x v="0"/>
          </reference>
          <reference field="3" count="1" selected="0">
            <x v="0"/>
          </reference>
          <reference field="4" count="0"/>
        </references>
      </pivotArea>
    </format>
  </formats>
  <chartFormats count="19">
    <chartFormat chart="7" format="22" series="1">
      <pivotArea type="data" outline="0" fieldPosition="0">
        <references count="2">
          <reference field="4294967294" count="1" selected="0">
            <x v="0"/>
          </reference>
          <reference field="3" count="1" selected="0">
            <x v="0"/>
          </reference>
        </references>
      </pivotArea>
    </chartFormat>
    <chartFormat chart="7" format="23">
      <pivotArea type="data" outline="0" fieldPosition="0">
        <references count="3">
          <reference field="4294967294" count="1" selected="0">
            <x v="0"/>
          </reference>
          <reference field="3" count="1" selected="0">
            <x v="0"/>
          </reference>
          <reference field="4" count="1" selected="0">
            <x v="0"/>
          </reference>
        </references>
      </pivotArea>
    </chartFormat>
    <chartFormat chart="7" format="24">
      <pivotArea type="data" outline="0" fieldPosition="0">
        <references count="3">
          <reference field="4294967294" count="1" selected="0">
            <x v="0"/>
          </reference>
          <reference field="3" count="1" selected="0">
            <x v="0"/>
          </reference>
          <reference field="4" count="1" selected="0">
            <x v="1"/>
          </reference>
        </references>
      </pivotArea>
    </chartFormat>
    <chartFormat chart="7" format="25">
      <pivotArea type="data" outline="0" fieldPosition="0">
        <references count="3">
          <reference field="4294967294" count="1" selected="0">
            <x v="0"/>
          </reference>
          <reference field="3" count="1" selected="0">
            <x v="0"/>
          </reference>
          <reference field="4" count="1" selected="0">
            <x v="2"/>
          </reference>
        </references>
      </pivotArea>
    </chartFormat>
    <chartFormat chart="7" format="26">
      <pivotArea type="data" outline="0" fieldPosition="0">
        <references count="3">
          <reference field="4294967294" count="1" selected="0">
            <x v="0"/>
          </reference>
          <reference field="3" count="1" selected="0">
            <x v="0"/>
          </reference>
          <reference field="4" count="1" selected="0">
            <x v="3"/>
          </reference>
        </references>
      </pivotArea>
    </chartFormat>
    <chartFormat chart="7" format="27">
      <pivotArea type="data" outline="0" fieldPosition="0">
        <references count="3">
          <reference field="4294967294" count="1" selected="0">
            <x v="0"/>
          </reference>
          <reference field="3" count="1" selected="0">
            <x v="0"/>
          </reference>
          <reference field="4" count="1" selected="0">
            <x v="4"/>
          </reference>
        </references>
      </pivotArea>
    </chartFormat>
    <chartFormat chart="7" format="28" series="1">
      <pivotArea type="data" outline="0" fieldPosition="0">
        <references count="2">
          <reference field="4294967294" count="1" selected="0">
            <x v="0"/>
          </reference>
          <reference field="3" count="1" selected="0">
            <x v="1"/>
          </reference>
        </references>
      </pivotArea>
    </chartFormat>
    <chartFormat chart="7" format="29">
      <pivotArea type="data" outline="0" fieldPosition="0">
        <references count="3">
          <reference field="4294967294" count="1" selected="0">
            <x v="0"/>
          </reference>
          <reference field="3" count="1" selected="0">
            <x v="1"/>
          </reference>
          <reference field="4" count="1" selected="0">
            <x v="0"/>
          </reference>
        </references>
      </pivotArea>
    </chartFormat>
    <chartFormat chart="7" format="30">
      <pivotArea type="data" outline="0" fieldPosition="0">
        <references count="3">
          <reference field="4294967294" count="1" selected="0">
            <x v="0"/>
          </reference>
          <reference field="3" count="1" selected="0">
            <x v="1"/>
          </reference>
          <reference field="4" count="1" selected="0">
            <x v="1"/>
          </reference>
        </references>
      </pivotArea>
    </chartFormat>
    <chartFormat chart="7" format="31">
      <pivotArea type="data" outline="0" fieldPosition="0">
        <references count="3">
          <reference field="4294967294" count="1" selected="0">
            <x v="0"/>
          </reference>
          <reference field="3" count="1" selected="0">
            <x v="1"/>
          </reference>
          <reference field="4" count="1" selected="0">
            <x v="2"/>
          </reference>
        </references>
      </pivotArea>
    </chartFormat>
    <chartFormat chart="7" format="32">
      <pivotArea type="data" outline="0" fieldPosition="0">
        <references count="3">
          <reference field="4294967294" count="1" selected="0">
            <x v="0"/>
          </reference>
          <reference field="3" count="1" selected="0">
            <x v="1"/>
          </reference>
          <reference field="4" count="1" selected="0">
            <x v="3"/>
          </reference>
        </references>
      </pivotArea>
    </chartFormat>
    <chartFormat chart="7" format="33">
      <pivotArea type="data" outline="0" fieldPosition="0">
        <references count="3">
          <reference field="4294967294" count="1" selected="0">
            <x v="0"/>
          </reference>
          <reference field="3" count="1" selected="0">
            <x v="1"/>
          </reference>
          <reference field="4" count="1" selected="0">
            <x v="4"/>
          </reference>
        </references>
      </pivotArea>
    </chartFormat>
    <chartFormat chart="7" format="34" series="1">
      <pivotArea type="data" outline="0" fieldPosition="0">
        <references count="2">
          <reference field="4294967294" count="1" selected="0">
            <x v="0"/>
          </reference>
          <reference field="3" count="1" selected="0">
            <x v="2"/>
          </reference>
        </references>
      </pivotArea>
    </chartFormat>
    <chartFormat chart="7" format="35">
      <pivotArea type="data" outline="0" fieldPosition="0">
        <references count="3">
          <reference field="4294967294" count="1" selected="0">
            <x v="0"/>
          </reference>
          <reference field="3" count="1" selected="0">
            <x v="2"/>
          </reference>
          <reference field="4" count="1" selected="0">
            <x v="0"/>
          </reference>
        </references>
      </pivotArea>
    </chartFormat>
    <chartFormat chart="7" format="36">
      <pivotArea type="data" outline="0" fieldPosition="0">
        <references count="3">
          <reference field="4294967294" count="1" selected="0">
            <x v="0"/>
          </reference>
          <reference field="3" count="1" selected="0">
            <x v="2"/>
          </reference>
          <reference field="4" count="1" selected="0">
            <x v="1"/>
          </reference>
        </references>
      </pivotArea>
    </chartFormat>
    <chartFormat chart="7" format="37">
      <pivotArea type="data" outline="0" fieldPosition="0">
        <references count="3">
          <reference field="4294967294" count="1" selected="0">
            <x v="0"/>
          </reference>
          <reference field="3" count="1" selected="0">
            <x v="2"/>
          </reference>
          <reference field="4" count="1" selected="0">
            <x v="2"/>
          </reference>
        </references>
      </pivotArea>
    </chartFormat>
    <chartFormat chart="7" format="38">
      <pivotArea type="data" outline="0" fieldPosition="0">
        <references count="3">
          <reference field="4294967294" count="1" selected="0">
            <x v="0"/>
          </reference>
          <reference field="3" count="1" selected="0">
            <x v="2"/>
          </reference>
          <reference field="4" count="1" selected="0">
            <x v="3"/>
          </reference>
        </references>
      </pivotArea>
    </chartFormat>
    <chartFormat chart="7" format="39">
      <pivotArea type="data" outline="0" fieldPosition="0">
        <references count="3">
          <reference field="4294967294" count="1" selected="0">
            <x v="0"/>
          </reference>
          <reference field="3" count="1" selected="0">
            <x v="2"/>
          </reference>
          <reference field="4" count="1" selected="0">
            <x v="4"/>
          </reference>
        </references>
      </pivotArea>
    </chartFormat>
    <chartFormat chart="7" format="4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filters count="1">
    <filter fld="1" type="dateBetween" evalOrder="-1" id="76" name="Date">
      <autoFilter ref="A1">
        <filterColumn colId="0">
          <customFilters and="1">
            <customFilter operator="greaterThanOrEqual" val="4565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272E78-C776-4FD1-9530-A243B910149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Product" colHeaderCaption="Segment-">
  <location ref="A72:B78" firstHeaderRow="1" firstDataRow="1" firstDataCol="1"/>
  <pivotFields count="15">
    <pivotField showAll="0"/>
    <pivotField numFmtId="14" showAll="0">
      <items count="48">
        <item x="12"/>
        <item x="2"/>
        <item x="9"/>
        <item x="16"/>
        <item x="19"/>
        <item x="13"/>
        <item x="11"/>
        <item x="28"/>
        <item x="31"/>
        <item x="24"/>
        <item x="35"/>
        <item x="32"/>
        <item x="14"/>
        <item x="45"/>
        <item x="21"/>
        <item x="23"/>
        <item x="7"/>
        <item x="44"/>
        <item x="27"/>
        <item x="37"/>
        <item x="10"/>
        <item x="22"/>
        <item x="34"/>
        <item x="17"/>
        <item x="8"/>
        <item x="40"/>
        <item x="0"/>
        <item x="39"/>
        <item x="46"/>
        <item x="30"/>
        <item x="26"/>
        <item x="36"/>
        <item x="29"/>
        <item x="33"/>
        <item x="4"/>
        <item x="6"/>
        <item x="20"/>
        <item x="18"/>
        <item x="42"/>
        <item x="3"/>
        <item x="25"/>
        <item x="5"/>
        <item x="41"/>
        <item x="1"/>
        <item x="43"/>
        <item x="15"/>
        <item x="38"/>
        <item t="default"/>
      </items>
    </pivotField>
    <pivotField showAll="0">
      <items count="5">
        <item x="0"/>
        <item x="1"/>
        <item x="3"/>
        <item x="2"/>
        <item t="default"/>
      </items>
    </pivotField>
    <pivotField showAll="0"/>
    <pivotField axis="axisRow" showAll="0">
      <items count="6">
        <item x="2"/>
        <item x="4"/>
        <item x="3"/>
        <item x="0"/>
        <item x="1"/>
        <item t="default"/>
      </items>
    </pivotField>
    <pivotField showAll="0"/>
    <pivotField dataField="1" showAll="0"/>
    <pivotField numFmtId="9" showAll="0"/>
    <pivotField numFmtId="2" showAll="0"/>
    <pivotField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Average of Unit_Price" fld="6" subtotal="average" baseField="0" baseItem="0"/>
  </dataFields>
  <chartFormats count="6">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4" count="1" selected="0">
            <x v="0"/>
          </reference>
        </references>
      </pivotArea>
    </chartFormat>
    <chartFormat chart="22" format="9">
      <pivotArea type="data" outline="0" fieldPosition="0">
        <references count="2">
          <reference field="4294967294" count="1" selected="0">
            <x v="0"/>
          </reference>
          <reference field="4" count="1" selected="0">
            <x v="1"/>
          </reference>
        </references>
      </pivotArea>
    </chartFormat>
    <chartFormat chart="22" format="10">
      <pivotArea type="data" outline="0" fieldPosition="0">
        <references count="2">
          <reference field="4294967294" count="1" selected="0">
            <x v="0"/>
          </reference>
          <reference field="4" count="1" selected="0">
            <x v="2"/>
          </reference>
        </references>
      </pivotArea>
    </chartFormat>
    <chartFormat chart="22" format="11">
      <pivotArea type="data" outline="0" fieldPosition="0">
        <references count="2">
          <reference field="4294967294" count="1" selected="0">
            <x v="0"/>
          </reference>
          <reference field="4" count="1" selected="0">
            <x v="3"/>
          </reference>
        </references>
      </pivotArea>
    </chartFormat>
    <chartFormat chart="22" format="12">
      <pivotArea type="data" outline="0" fieldPosition="0">
        <references count="2">
          <reference field="4294967294" count="1" selected="0">
            <x v="0"/>
          </reference>
          <reference field="4" count="1" selected="0">
            <x v="4"/>
          </reference>
        </references>
      </pivotArea>
    </chartFormat>
  </chartFormats>
  <pivotTableStyleInfo name="PivotStyleLight15" showRowHeaders="1" showColHeaders="1" showRowStripes="0" showColStripes="0" showLastColumn="1"/>
  <filters count="1">
    <filter fld="1" type="dateBetween" evalOrder="-1" id="76" name="Date">
      <autoFilter ref="A1">
        <filterColumn colId="0">
          <customFilters and="1">
            <customFilter operator="greaterThanOrEqual" val="4565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479B60-52B6-462D-A8AD-D61D852BEA6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Product" colHeaderCaption="Segment-">
  <location ref="A53:C57" firstHeaderRow="0" firstDataRow="1" firstDataCol="1"/>
  <pivotFields count="15">
    <pivotField showAll="0"/>
    <pivotField numFmtId="14" showAll="0">
      <items count="48">
        <item x="12"/>
        <item x="2"/>
        <item x="9"/>
        <item x="16"/>
        <item x="19"/>
        <item x="13"/>
        <item x="11"/>
        <item x="28"/>
        <item x="31"/>
        <item x="24"/>
        <item x="35"/>
        <item x="32"/>
        <item x="14"/>
        <item x="45"/>
        <item x="21"/>
        <item x="23"/>
        <item x="7"/>
        <item x="44"/>
        <item x="27"/>
        <item x="37"/>
        <item x="10"/>
        <item x="22"/>
        <item x="34"/>
        <item x="17"/>
        <item x="8"/>
        <item x="40"/>
        <item x="0"/>
        <item x="39"/>
        <item x="46"/>
        <item x="30"/>
        <item x="26"/>
        <item x="36"/>
        <item x="29"/>
        <item x="33"/>
        <item x="4"/>
        <item x="6"/>
        <item x="20"/>
        <item x="18"/>
        <item x="42"/>
        <item x="3"/>
        <item x="25"/>
        <item x="5"/>
        <item x="41"/>
        <item x="1"/>
        <item x="43"/>
        <item x="15"/>
        <item x="38"/>
        <item t="default"/>
      </items>
    </pivotField>
    <pivotField showAll="0">
      <items count="5">
        <item x="0"/>
        <item x="1"/>
        <item x="3"/>
        <item x="2"/>
        <item t="default"/>
      </items>
    </pivotField>
    <pivotField showAll="0"/>
    <pivotField showAll="0"/>
    <pivotField showAll="0"/>
    <pivotField showAll="0"/>
    <pivotField numFmtId="9" showAll="0"/>
    <pivotField numFmtId="2" showAll="0"/>
    <pivotField axis="axisRow" showAll="0">
      <items count="4">
        <item x="0"/>
        <item x="1"/>
        <item x="2"/>
        <item t="default"/>
      </items>
    </pivotField>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4">
    <i>
      <x/>
    </i>
    <i>
      <x v="1"/>
    </i>
    <i>
      <x v="2"/>
    </i>
    <i t="grand">
      <x/>
    </i>
  </rowItems>
  <colFields count="1">
    <field x="-2"/>
  </colFields>
  <colItems count="2">
    <i>
      <x/>
    </i>
    <i i="1">
      <x v="1"/>
    </i>
  </colItems>
  <dataFields count="2">
    <dataField name="Sum of Sales" fld="10" baseField="9" baseItem="0"/>
    <dataField name="Sum of Revenue Loss Due To Returns/Cancelled " fld="11" baseField="9" baseItem="0"/>
  </dataFields>
  <chartFormats count="2">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filters count="1">
    <filter fld="1" type="dateBetween" evalOrder="-1" id="76" name="Date">
      <autoFilter ref="A1">
        <filterColumn colId="0">
          <customFilters and="1">
            <customFilter operator="greaterThanOrEqual" val="4565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28C34D-1836-49DA-BB60-1995CF7527C6}" autoFormatId="16" applyNumberFormats="0" applyBorderFormats="0" applyFontFormats="0" applyPatternFormats="0" applyAlignmentFormats="0" applyWidthHeightFormats="0">
  <queryTableRefresh nextId="13" unboundColumnsRight="2">
    <queryTableFields count="12">
      <queryTableField id="1" name="Order_ID" tableColumnId="1"/>
      <queryTableField id="2" name="Date" tableColumnId="2"/>
      <queryTableField id="3" name="Region" tableColumnId="3"/>
      <queryTableField id="4" name="Segment" tableColumnId="4"/>
      <queryTableField id="5" name="Product" tableColumnId="5"/>
      <queryTableField id="6" name="Units" tableColumnId="6"/>
      <queryTableField id="7" name="Unit_Price" tableColumnId="7"/>
      <queryTableField id="8" name="Discount_Pct" tableColumnId="8"/>
      <queryTableField id="9" name="Shipping_Fee" tableColumnId="9"/>
      <queryTableField id="10" name="Status"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D1E226E-83DD-431B-A9AC-7743CEA8305B}" sourceName="Status">
  <pivotTables>
    <pivotTable tabId="6" name="PivotTable2"/>
    <pivotTable tabId="6" name="PivotTable3"/>
    <pivotTable tabId="6" name="PivotTable4"/>
    <pivotTable tabId="6" name="PivotTable5"/>
    <pivotTable tabId="6" name="PivotTable1"/>
    <pivotTable tabId="6" name="PivotTable6"/>
  </pivotTables>
  <data>
    <tabular pivotCacheId="2139877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6AAEFC-F783-46D8-91AB-0977A1D7424F}" sourceName="Region">
  <pivotTables>
    <pivotTable tabId="6" name="PivotTable2"/>
    <pivotTable tabId="6" name="PivotTable3"/>
    <pivotTable tabId="6" name="PivotTable4"/>
    <pivotTable tabId="6" name="PivotTable5"/>
    <pivotTable tabId="6" name="PivotTable1"/>
    <pivotTable tabId="6" name="PivotTable6"/>
  </pivotTables>
  <data>
    <tabular pivotCacheId="2139877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2A20467-9532-4008-9015-03A18D6B979E}" sourceName="Segment">
  <pivotTables>
    <pivotTable tabId="6" name="PivotTable2"/>
  </pivotTables>
  <data>
    <tabular pivotCacheId="2139877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B0BCB1F-8DEE-4EC4-BA66-F8418A2820CA}" sourceName="Product">
  <pivotTables>
    <pivotTable tabId="6" name="PivotTable2"/>
  </pivotTables>
  <data>
    <tabular pivotCacheId="21398772">
      <items count="5">
        <i x="2" s="1"/>
        <i x="4"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Pct" xr10:uid="{7FCBDCE0-84E3-40B5-BC43-0DA456A936DA}" sourceName="Discount_Pct">
  <pivotTables>
    <pivotTable tabId="6" name="PivotTable2"/>
  </pivotTables>
  <data>
    <tabular pivotCacheId="21398772">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22D57C63-2DE7-4FC8-8AB5-688F0E3049DD}" cache="Slicer_Status" caption="Status" style="SlicerStyleLight1 2" rowHeight="1260000"/>
  <slicer name="Region" xr10:uid="{BE01027E-F692-45C7-AE1D-E234A8FA61CC}" cache="Slicer_Region" caption="Region" style="SlicerStyleLight1 2" rowHeight="1260000"/>
  <slicer name="Segment" xr10:uid="{7A31F9DC-069B-445D-8229-95BDBFA3C62A}" cache="Slicer_Segment" caption="Segment" style="SlicerStyleLight1 2" rowHeight="1260000"/>
  <slicer name="Product" xr10:uid="{DC1BFF43-5535-481F-A083-04A7777795E4}" cache="Slicer_Product" caption="Product" style="SlicerStyleLight1 2" rowHeight="1260000"/>
  <slicer name="Discount_Pct" xr10:uid="{B02BD1F7-8D45-4B35-9FFF-C4B2B5AC5852}" cache="Slicer_Discount_Pct" caption="Discount_Pct" style="SlicerStyleLight1 2" rowHeight="68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44A8F0-1B70-4FF3-9F50-C60D01D1BD8A}" name="Table001__Page_1" displayName="Table001__Page_1" ref="A9:L60" tableType="queryTable" totalsRowShown="0">
  <autoFilter ref="A9:L60" xr:uid="{EA44A8F0-1B70-4FF3-9F50-C60D01D1BD8A}"/>
  <sortState xmlns:xlrd2="http://schemas.microsoft.com/office/spreadsheetml/2017/richdata2" ref="A10:L60">
    <sortCondition ref="B9:B60"/>
  </sortState>
  <tableColumns count="12">
    <tableColumn id="1" xr3:uid="{B8D5C751-F9A9-42F3-8D2C-0FBEF6670A48}" uniqueName="1" name="Order_ID" queryTableFieldId="1" dataDxfId="31"/>
    <tableColumn id="2" xr3:uid="{1E12BD4B-ED04-42AB-8E1B-32360798AE2E}" uniqueName="2" name="Date" queryTableFieldId="2" dataDxfId="30"/>
    <tableColumn id="3" xr3:uid="{71D160DE-F5C8-428D-BFAD-7EF12DFF9841}" uniqueName="3" name="Region" queryTableFieldId="3" dataDxfId="29"/>
    <tableColumn id="4" xr3:uid="{587095A3-A0A9-4B20-B06B-DC8223282AAD}" uniqueName="4" name="Segment" queryTableFieldId="4" dataDxfId="28"/>
    <tableColumn id="5" xr3:uid="{D5CF306F-89C4-4489-906B-A55DC1ACC418}" uniqueName="5" name="Product" queryTableFieldId="5" dataDxfId="27"/>
    <tableColumn id="6" xr3:uid="{3CDBFDEF-67E1-418E-B328-95C7CF9A3142}" uniqueName="6" name="Units" queryTableFieldId="6"/>
    <tableColumn id="7" xr3:uid="{0260707F-4FEF-4F3D-81A1-4BEE758A1E7F}" uniqueName="7" name="Unit_Price" queryTableFieldId="7"/>
    <tableColumn id="8" xr3:uid="{3B33BFAF-D068-481D-A2A3-EFC3A91C136A}" uniqueName="8" name="Discount_Pct" queryTableFieldId="8" dataDxfId="26"/>
    <tableColumn id="9" xr3:uid="{AA71C479-D648-49C7-B6EB-25E924806E2C}" uniqueName="9" name="Shipping_Fee" queryTableFieldId="9" dataDxfId="25"/>
    <tableColumn id="10" xr3:uid="{D9D825CC-A0D1-4D53-96F6-83C523D4684B}" uniqueName="10" name="Status" queryTableFieldId="10" dataDxfId="24"/>
    <tableColumn id="11" xr3:uid="{40065B9A-7B0B-4E1F-97A0-E1969DF7803C}" uniqueName="11" name="Sales" queryTableFieldId="11" dataDxfId="23">
      <calculatedColumnFormula>Table001__Page_1[[#This Row],[Unit_Price]]*Table001__Page_1[[#This Row],[Units]]-Table001__Page_1[[#This Row],[Unit_Price]]*Table001__Page_1[[#This Row],[Discount_Pct]]+Table001__Page_1[[#This Row],[Shipping_Fee]]</calculatedColumnFormula>
    </tableColumn>
    <tableColumn id="12" xr3:uid="{FEC30FBC-50B4-4295-ADE6-959B655D34B6}" uniqueName="12" name="Revenue Loss Due To Returns " queryTableFieldId="12" dataDxfId="22">
      <calculatedColumnFormula>IF(Table001__Page_1[[#This Row],[Status]]="Cancelled",(Table001__Page_1[[#This Row],[Unit_Price]]* Table001__Page_1[[#This Row],[Units]]*1.2) -Table001__Page_1[[#This Row],[Unit_Price]] +Table001__Page_1[[#This Row],[Shipping_Fee]], "")</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FE027A5-2B86-4D62-BED9-3431F16DBE0E}" sourceName="Date">
  <pivotTables>
    <pivotTable tabId="6" name="PivotTable2"/>
    <pivotTable tabId="6" name="PivotTable3"/>
    <pivotTable tabId="6" name="PivotTable4"/>
    <pivotTable tabId="6" name="PivotTable5"/>
    <pivotTable tabId="6" name="PivotTable1"/>
    <pivotTable tabId="6" name="PivotTable6"/>
  </pivotTables>
  <state minimalRefreshVersion="6" lastRefreshVersion="6" pivotCacheId="21398772" filterType="dateBetween">
    <selection startDate="2025-01-01T00:00:00" endDate="2027-01-31T00:00:00"/>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D619FBE-098B-4B9A-B586-140E4661330E}" cache="NativeTimeline_Date" caption="Date" showHeader="0" showSelectionLabel="0"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2BB2-5666-427C-8977-A84E762BD956}">
  <dimension ref="A1:W61"/>
  <sheetViews>
    <sheetView showGridLines="0" topLeftCell="A51" zoomScale="68" zoomScaleNormal="100" workbookViewId="0">
      <selection activeCell="N10" sqref="N10"/>
    </sheetView>
  </sheetViews>
  <sheetFormatPr defaultRowHeight="14.5" x14ac:dyDescent="0.35"/>
  <cols>
    <col min="1" max="1" width="10.81640625" bestFit="1" customWidth="1"/>
    <col min="2" max="2" width="10.08984375" bestFit="1" customWidth="1"/>
    <col min="3" max="3" width="13" bestFit="1" customWidth="1"/>
    <col min="4" max="4" width="10.36328125" bestFit="1" customWidth="1"/>
    <col min="5" max="5" width="27.7265625" bestFit="1" customWidth="1"/>
    <col min="6" max="6" width="7.453125" bestFit="1" customWidth="1"/>
    <col min="7" max="7" width="11.7265625" bestFit="1" customWidth="1"/>
    <col min="8" max="9" width="14.08984375" bestFit="1" customWidth="1"/>
    <col min="10" max="10" width="8.90625" bestFit="1" customWidth="1"/>
    <col min="11" max="11" width="7.36328125" style="8" bestFit="1" customWidth="1"/>
    <col min="12" max="12" width="28.453125" bestFit="1" customWidth="1"/>
    <col min="13" max="13" width="10.08984375" style="1" bestFit="1" customWidth="1"/>
    <col min="14" max="14" width="17" style="32" bestFit="1" customWidth="1"/>
    <col min="15" max="15" width="15.90625" style="8" bestFit="1" customWidth="1"/>
    <col min="16" max="16" width="11.81640625" bestFit="1" customWidth="1"/>
    <col min="17" max="17" width="7.7265625" bestFit="1" customWidth="1"/>
    <col min="18" max="18" width="11.90625" bestFit="1" customWidth="1"/>
    <col min="19" max="19" width="14.1796875" style="10" bestFit="1" customWidth="1"/>
    <col min="20" max="20" width="14.36328125" style="8" bestFit="1" customWidth="1"/>
    <col min="21" max="21" width="8.90625" bestFit="1" customWidth="1"/>
    <col min="22" max="22" width="8.36328125" style="8" bestFit="1" customWidth="1"/>
    <col min="23" max="23" width="28.6328125" style="8" bestFit="1" customWidth="1"/>
  </cols>
  <sheetData>
    <row r="1" spans="1:23" s="4" customFormat="1" x14ac:dyDescent="0.35">
      <c r="K1" s="7"/>
      <c r="M1" s="17"/>
      <c r="N1" s="31"/>
      <c r="O1" s="7"/>
      <c r="S1" s="18"/>
      <c r="T1" s="7"/>
      <c r="V1" s="7"/>
      <c r="W1" s="7"/>
    </row>
    <row r="2" spans="1:23" s="4" customFormat="1" x14ac:dyDescent="0.35">
      <c r="K2" s="7"/>
      <c r="M2" s="17"/>
      <c r="N2" s="31"/>
      <c r="O2" s="7"/>
      <c r="S2" s="18"/>
      <c r="T2" s="7"/>
      <c r="V2" s="7"/>
      <c r="W2" s="7"/>
    </row>
    <row r="3" spans="1:23" s="4" customFormat="1" x14ac:dyDescent="0.35">
      <c r="K3" s="7"/>
      <c r="M3" s="17"/>
      <c r="N3" s="31"/>
      <c r="O3" s="7"/>
      <c r="S3" s="18"/>
      <c r="T3" s="7"/>
      <c r="V3" s="7"/>
      <c r="W3" s="7"/>
    </row>
    <row r="4" spans="1:23" x14ac:dyDescent="0.35">
      <c r="A4" s="3"/>
      <c r="B4" s="16"/>
      <c r="C4" s="3"/>
      <c r="D4" s="3"/>
      <c r="E4" s="16" t="s">
        <v>79</v>
      </c>
      <c r="F4" s="3"/>
      <c r="G4" s="3"/>
      <c r="H4" s="3"/>
      <c r="I4" s="3"/>
      <c r="J4" s="3"/>
      <c r="K4" s="33"/>
    </row>
    <row r="5" spans="1:23" ht="15" thickBot="1" x14ac:dyDescent="0.4">
      <c r="A5" s="16" t="s">
        <v>78</v>
      </c>
      <c r="B5" s="13" t="s">
        <v>1</v>
      </c>
      <c r="C5" s="2" t="s">
        <v>2</v>
      </c>
      <c r="D5" s="2" t="s">
        <v>3</v>
      </c>
      <c r="E5" s="2" t="s">
        <v>4</v>
      </c>
      <c r="F5" s="2" t="s">
        <v>5</v>
      </c>
      <c r="G5" s="2" t="s">
        <v>6</v>
      </c>
      <c r="H5" s="14" t="s">
        <v>7</v>
      </c>
      <c r="I5" s="15" t="s">
        <v>8</v>
      </c>
      <c r="J5" s="2" t="s">
        <v>9</v>
      </c>
      <c r="K5" s="15" t="s">
        <v>75</v>
      </c>
    </row>
    <row r="6" spans="1:23" ht="15" thickTop="1" x14ac:dyDescent="0.35">
      <c r="A6" s="19"/>
      <c r="B6" t="str" cm="1">
        <f t="array" ref="B6">_xlfn.XLOOKUP(A6,A10:A59,B10:K59,"No Data")</f>
        <v>No Data</v>
      </c>
    </row>
    <row r="7" spans="1:23" ht="21" x14ac:dyDescent="0.5">
      <c r="A7" s="20"/>
      <c r="B7" s="3"/>
      <c r="C7" s="3"/>
      <c r="D7" s="3"/>
      <c r="E7" s="21" t="s">
        <v>80</v>
      </c>
      <c r="F7" s="3"/>
      <c r="G7" s="3"/>
      <c r="H7" s="3"/>
      <c r="I7" s="3"/>
      <c r="J7" s="3"/>
      <c r="K7" s="33"/>
      <c r="L7" s="3"/>
    </row>
    <row r="8" spans="1:23" x14ac:dyDescent="0.35">
      <c r="A8" s="20"/>
      <c r="B8" s="3"/>
      <c r="C8" s="3"/>
      <c r="D8" s="3"/>
      <c r="E8" s="3"/>
      <c r="F8" s="3"/>
      <c r="G8" s="3"/>
      <c r="H8" s="3"/>
      <c r="I8" s="3"/>
      <c r="J8" s="3"/>
      <c r="K8" s="33"/>
      <c r="L8" s="3"/>
    </row>
    <row r="9" spans="1:23" x14ac:dyDescent="0.35">
      <c r="A9" t="s">
        <v>0</v>
      </c>
      <c r="B9" s="1" t="s">
        <v>1</v>
      </c>
      <c r="C9" t="s">
        <v>2</v>
      </c>
      <c r="D9" t="s">
        <v>3</v>
      </c>
      <c r="E9" t="s">
        <v>4</v>
      </c>
      <c r="F9" t="s">
        <v>5</v>
      </c>
      <c r="G9" t="s">
        <v>6</v>
      </c>
      <c r="H9" s="10" t="s">
        <v>7</v>
      </c>
      <c r="I9" s="8" t="s">
        <v>8</v>
      </c>
      <c r="J9" t="s">
        <v>9</v>
      </c>
      <c r="K9" s="8" t="s">
        <v>75</v>
      </c>
      <c r="L9" s="8" t="s">
        <v>77</v>
      </c>
    </row>
    <row r="10" spans="1:23" x14ac:dyDescent="0.35">
      <c r="A10" t="s">
        <v>68</v>
      </c>
      <c r="B10" s="1">
        <v>45810</v>
      </c>
      <c r="C10" t="s">
        <v>25</v>
      </c>
      <c r="D10" t="s">
        <v>12</v>
      </c>
      <c r="E10" t="s">
        <v>26</v>
      </c>
      <c r="F10">
        <v>10</v>
      </c>
      <c r="G10">
        <v>150</v>
      </c>
      <c r="H10" s="10">
        <v>0</v>
      </c>
      <c r="I10" s="8">
        <v>13.67</v>
      </c>
      <c r="J10" t="s">
        <v>28</v>
      </c>
      <c r="K10" s="8" t="str">
        <f>IF(Table001__Page_1[[#This Row],[Status]]="Shipped",(Table001__Page_1[[#This Row],[Unit_Price]]* Table001__Page_1[[#This Row],[Units]]*1.2) -Table001__Page_1[[#This Row],[Unit_Price]] +Table001__Page_1[[#This Row],[Shipping_Fee]], "")</f>
        <v/>
      </c>
      <c r="L10" s="8">
        <f>IF(OR(Table001__Page_1[[#This Row],[Status]]="Cancelled", Table001__Page_1[[#This Row],[Status]]="Returned"), (Table001__Page_1[[#This Row],[Unit_Price]] * Table001__Page_1[[#This Row],[Units]] * 1.2) - Table001__Page_1[[#This Row],[Unit_Price]] + Table001__Page_1[[#This Row],[Shipping_Fee]], 0)</f>
        <v>1663.67</v>
      </c>
      <c r="N10" s="30"/>
      <c r="Q10" s="8"/>
    </row>
    <row r="11" spans="1:23" x14ac:dyDescent="0.35">
      <c r="A11" t="s">
        <v>58</v>
      </c>
      <c r="B11" s="1">
        <v>45822</v>
      </c>
      <c r="C11" t="s">
        <v>36</v>
      </c>
      <c r="D11" t="s">
        <v>19</v>
      </c>
      <c r="E11" t="s">
        <v>26</v>
      </c>
      <c r="F11">
        <v>12</v>
      </c>
      <c r="G11">
        <v>199.99</v>
      </c>
      <c r="H11" s="10">
        <v>0</v>
      </c>
      <c r="I11" s="8">
        <v>21.84</v>
      </c>
      <c r="J11" t="s">
        <v>28</v>
      </c>
      <c r="K11" s="8" t="str">
        <f>IF(Table001__Page_1[[#This Row],[Status]]="Shipped",(Table001__Page_1[[#This Row],[Unit_Price]]* Table001__Page_1[[#This Row],[Units]]*1.2) -Table001__Page_1[[#This Row],[Unit_Price]] +Table001__Page_1[[#This Row],[Shipping_Fee]], "")</f>
        <v/>
      </c>
      <c r="L11" s="8">
        <f>IF(OR(Table001__Page_1[[#This Row],[Status]]="Cancelled", Table001__Page_1[[#This Row],[Status]]="Returned"), (Table001__Page_1[[#This Row],[Unit_Price]] * Table001__Page_1[[#This Row],[Units]] * 1.2) - Table001__Page_1[[#This Row],[Unit_Price]] + Table001__Page_1[[#This Row],[Shipping_Fee]], 0)</f>
        <v>2701.7060000000001</v>
      </c>
      <c r="N11" s="30"/>
    </row>
    <row r="12" spans="1:23" x14ac:dyDescent="0.35">
      <c r="A12" t="s">
        <v>23</v>
      </c>
      <c r="B12" s="1">
        <v>45829</v>
      </c>
      <c r="C12" t="s">
        <v>11</v>
      </c>
      <c r="D12" t="s">
        <v>12</v>
      </c>
      <c r="E12" t="s">
        <v>13</v>
      </c>
      <c r="F12">
        <v>6</v>
      </c>
      <c r="G12">
        <v>199.99</v>
      </c>
      <c r="H12" s="10">
        <v>0</v>
      </c>
      <c r="I12" s="8">
        <v>13.4</v>
      </c>
      <c r="J12" t="s">
        <v>14</v>
      </c>
      <c r="K12" s="8">
        <f>IF(Table001__Page_1[[#This Row],[Status]]="Shipped",(Table001__Page_1[[#This Row],[Unit_Price]]* Table001__Page_1[[#This Row],[Units]]*1.2) -Table001__Page_1[[#This Row],[Unit_Price]] +Table001__Page_1[[#This Row],[Shipping_Fee]], "")</f>
        <v>1253.3380000000002</v>
      </c>
      <c r="L12" s="8">
        <f>IF(OR(Table001__Page_1[[#This Row],[Status]]="Cancelled", Table001__Page_1[[#This Row],[Status]]="Returned"), (Table001__Page_1[[#This Row],[Unit_Price]] * Table001__Page_1[[#This Row],[Units]] * 1.2) - Table001__Page_1[[#This Row],[Unit_Price]] + Table001__Page_1[[#This Row],[Shipping_Fee]], 0)</f>
        <v>0</v>
      </c>
      <c r="N12" s="30"/>
    </row>
    <row r="13" spans="1:23" x14ac:dyDescent="0.35">
      <c r="A13" t="s">
        <v>55</v>
      </c>
      <c r="B13" s="1">
        <v>45829</v>
      </c>
      <c r="C13" t="s">
        <v>25</v>
      </c>
      <c r="D13" t="s">
        <v>19</v>
      </c>
      <c r="E13" t="s">
        <v>17</v>
      </c>
      <c r="F13">
        <v>11</v>
      </c>
      <c r="G13">
        <v>89</v>
      </c>
      <c r="H13" s="10">
        <v>0.05</v>
      </c>
      <c r="I13" s="8">
        <v>10.43</v>
      </c>
      <c r="J13" t="s">
        <v>28</v>
      </c>
      <c r="K13" s="8" t="str">
        <f>IF(Table001__Page_1[[#This Row],[Status]]="Shipped",(Table001__Page_1[[#This Row],[Unit_Price]]* Table001__Page_1[[#This Row],[Units]]*1.2) -Table001__Page_1[[#This Row],[Unit_Price]] +Table001__Page_1[[#This Row],[Shipping_Fee]], "")</f>
        <v/>
      </c>
      <c r="L13" s="8">
        <f>IF(OR(Table001__Page_1[[#This Row],[Status]]="Cancelled", Table001__Page_1[[#This Row],[Status]]="Returned"), (Table001__Page_1[[#This Row],[Unit_Price]] * Table001__Page_1[[#This Row],[Units]] * 1.2) - Table001__Page_1[[#This Row],[Unit_Price]] + Table001__Page_1[[#This Row],[Shipping_Fee]], 0)</f>
        <v>1096.23</v>
      </c>
      <c r="N13" s="30"/>
    </row>
    <row r="14" spans="1:23" x14ac:dyDescent="0.35">
      <c r="A14" t="s">
        <v>41</v>
      </c>
      <c r="B14" s="1">
        <v>45830</v>
      </c>
      <c r="C14" t="s">
        <v>22</v>
      </c>
      <c r="D14" t="s">
        <v>19</v>
      </c>
      <c r="E14" t="s">
        <v>26</v>
      </c>
      <c r="F14">
        <v>7</v>
      </c>
      <c r="G14">
        <v>129.5</v>
      </c>
      <c r="H14" s="10">
        <v>0.05</v>
      </c>
      <c r="I14" s="8">
        <v>16.579999999999998</v>
      </c>
      <c r="J14" t="s">
        <v>28</v>
      </c>
      <c r="K14" s="8" t="str">
        <f>IF(Table001__Page_1[[#This Row],[Status]]="Shipped",(Table001__Page_1[[#This Row],[Unit_Price]]* Table001__Page_1[[#This Row],[Units]]*1.2) -Table001__Page_1[[#This Row],[Unit_Price]] +Table001__Page_1[[#This Row],[Shipping_Fee]], "")</f>
        <v/>
      </c>
      <c r="L14" s="8">
        <f>IF(OR(Table001__Page_1[[#This Row],[Status]]="Cancelled", Table001__Page_1[[#This Row],[Status]]="Returned"), (Table001__Page_1[[#This Row],[Unit_Price]] * Table001__Page_1[[#This Row],[Units]] * 1.2) - Table001__Page_1[[#This Row],[Unit_Price]] + Table001__Page_1[[#This Row],[Shipping_Fee]], 0)</f>
        <v>974.88</v>
      </c>
      <c r="N14" s="30"/>
    </row>
    <row r="15" spans="1:23" x14ac:dyDescent="0.35">
      <c r="A15" t="s">
        <v>64</v>
      </c>
      <c r="B15" s="1">
        <v>45843</v>
      </c>
      <c r="C15" t="s">
        <v>22</v>
      </c>
      <c r="D15" t="s">
        <v>19</v>
      </c>
      <c r="E15" t="s">
        <v>31</v>
      </c>
      <c r="F15">
        <v>12</v>
      </c>
      <c r="G15">
        <v>129.5</v>
      </c>
      <c r="H15" s="10">
        <v>0</v>
      </c>
      <c r="I15" s="8">
        <v>24.39</v>
      </c>
      <c r="J15" t="s">
        <v>14</v>
      </c>
      <c r="K15" s="8">
        <f>IF(Table001__Page_1[[#This Row],[Status]]="Shipped",(Table001__Page_1[[#This Row],[Unit_Price]]* Table001__Page_1[[#This Row],[Units]]*1.2) -Table001__Page_1[[#This Row],[Unit_Price]] +Table001__Page_1[[#This Row],[Shipping_Fee]], "")</f>
        <v>1759.69</v>
      </c>
      <c r="L15" s="8">
        <f>IF(OR(Table001__Page_1[[#This Row],[Status]]="Cancelled", Table001__Page_1[[#This Row],[Status]]="Returned"), (Table001__Page_1[[#This Row],[Unit_Price]] * Table001__Page_1[[#This Row],[Units]] * 1.2) - Table001__Page_1[[#This Row],[Unit_Price]] + Table001__Page_1[[#This Row],[Shipping_Fee]], 0)</f>
        <v>0</v>
      </c>
      <c r="N15" s="30"/>
    </row>
    <row r="16" spans="1:23" x14ac:dyDescent="0.35">
      <c r="A16" t="s">
        <v>74</v>
      </c>
      <c r="B16" s="1">
        <v>45852</v>
      </c>
      <c r="C16" t="s">
        <v>25</v>
      </c>
      <c r="D16" t="s">
        <v>12</v>
      </c>
      <c r="E16" t="s">
        <v>20</v>
      </c>
      <c r="F16">
        <v>9</v>
      </c>
      <c r="G16">
        <v>150</v>
      </c>
      <c r="H16" s="10">
        <v>0.15</v>
      </c>
      <c r="I16" s="8">
        <v>18.77</v>
      </c>
      <c r="J16" t="s">
        <v>38</v>
      </c>
      <c r="K16" s="8" t="str">
        <f>IF(Table001__Page_1[[#This Row],[Status]]="Shipped",(Table001__Page_1[[#This Row],[Unit_Price]]* Table001__Page_1[[#This Row],[Units]]*1.2) -Table001__Page_1[[#This Row],[Unit_Price]] +Table001__Page_1[[#This Row],[Shipping_Fee]], "")</f>
        <v/>
      </c>
      <c r="L16" s="8">
        <f>IF(OR(Table001__Page_1[[#This Row],[Status]]="Cancelled", Table001__Page_1[[#This Row],[Status]]="Returned"), (Table001__Page_1[[#This Row],[Unit_Price]] * Table001__Page_1[[#This Row],[Units]] * 1.2) - Table001__Page_1[[#This Row],[Unit_Price]] + Table001__Page_1[[#This Row],[Shipping_Fee]], 0)</f>
        <v>1488.77</v>
      </c>
      <c r="N16" s="30"/>
    </row>
    <row r="17" spans="1:14" x14ac:dyDescent="0.35">
      <c r="A17" t="s">
        <v>44</v>
      </c>
      <c r="B17" s="1">
        <v>45857</v>
      </c>
      <c r="C17" t="s">
        <v>25</v>
      </c>
      <c r="D17" t="s">
        <v>12</v>
      </c>
      <c r="E17" t="s">
        <v>31</v>
      </c>
      <c r="F17">
        <v>11</v>
      </c>
      <c r="G17">
        <v>150</v>
      </c>
      <c r="H17" s="10">
        <v>0</v>
      </c>
      <c r="I17" s="8">
        <v>11.56</v>
      </c>
      <c r="J17" t="s">
        <v>38</v>
      </c>
      <c r="K17" s="8" t="str">
        <f>IF(Table001__Page_1[[#This Row],[Status]]="Shipped",(Table001__Page_1[[#This Row],[Unit_Price]]* Table001__Page_1[[#This Row],[Units]]*1.2) -Table001__Page_1[[#This Row],[Unit_Price]] +Table001__Page_1[[#This Row],[Shipping_Fee]], "")</f>
        <v/>
      </c>
      <c r="L17" s="8">
        <f>IF(OR(Table001__Page_1[[#This Row],[Status]]="Cancelled", Table001__Page_1[[#This Row],[Status]]="Returned"), (Table001__Page_1[[#This Row],[Unit_Price]] * Table001__Page_1[[#This Row],[Units]] * 1.2) - Table001__Page_1[[#This Row],[Unit_Price]] + Table001__Page_1[[#This Row],[Shipping_Fee]], 0)</f>
        <v>1841.56</v>
      </c>
      <c r="N17" s="30"/>
    </row>
    <row r="18" spans="1:14" x14ac:dyDescent="0.35">
      <c r="A18" t="s">
        <v>67</v>
      </c>
      <c r="B18" s="1">
        <v>45858</v>
      </c>
      <c r="C18" t="s">
        <v>25</v>
      </c>
      <c r="D18" t="s">
        <v>16</v>
      </c>
      <c r="E18" t="s">
        <v>13</v>
      </c>
      <c r="F18">
        <v>3</v>
      </c>
      <c r="G18">
        <v>89</v>
      </c>
      <c r="H18" s="10">
        <v>0</v>
      </c>
      <c r="I18" s="8">
        <v>12.98</v>
      </c>
      <c r="J18" t="s">
        <v>28</v>
      </c>
      <c r="K18" s="8" t="str">
        <f>IF(Table001__Page_1[[#This Row],[Status]]="Shipped",(Table001__Page_1[[#This Row],[Unit_Price]]* Table001__Page_1[[#This Row],[Units]]*1.2) -Table001__Page_1[[#This Row],[Unit_Price]] +Table001__Page_1[[#This Row],[Shipping_Fee]], "")</f>
        <v/>
      </c>
      <c r="L18" s="8">
        <f>IF(OR(Table001__Page_1[[#This Row],[Status]]="Cancelled", Table001__Page_1[[#This Row],[Status]]="Returned"), (Table001__Page_1[[#This Row],[Unit_Price]] * Table001__Page_1[[#This Row],[Units]] * 1.2) - Table001__Page_1[[#This Row],[Unit_Price]] + Table001__Page_1[[#This Row],[Shipping_Fee]], 0)</f>
        <v>244.37999999999997</v>
      </c>
      <c r="N18" s="30"/>
    </row>
    <row r="19" spans="1:14" x14ac:dyDescent="0.35">
      <c r="A19" t="s">
        <v>50</v>
      </c>
      <c r="B19" s="1">
        <v>45859</v>
      </c>
      <c r="C19" t="s">
        <v>22</v>
      </c>
      <c r="D19" t="s">
        <v>16</v>
      </c>
      <c r="E19" t="s">
        <v>17</v>
      </c>
      <c r="F19">
        <v>5</v>
      </c>
      <c r="G19">
        <v>89</v>
      </c>
      <c r="H19" s="10">
        <v>0</v>
      </c>
      <c r="I19" s="8">
        <v>5.78</v>
      </c>
      <c r="J19" t="s">
        <v>14</v>
      </c>
      <c r="K19" s="8">
        <f>IF(Table001__Page_1[[#This Row],[Status]]="Shipped",(Table001__Page_1[[#This Row],[Unit_Price]]* Table001__Page_1[[#This Row],[Units]]*1.2) -Table001__Page_1[[#This Row],[Unit_Price]] +Table001__Page_1[[#This Row],[Shipping_Fee]], "")</f>
        <v>450.78</v>
      </c>
      <c r="L19" s="8">
        <f>IF(OR(Table001__Page_1[[#This Row],[Status]]="Cancelled", Table001__Page_1[[#This Row],[Status]]="Returned"), (Table001__Page_1[[#This Row],[Unit_Price]] * Table001__Page_1[[#This Row],[Units]] * 1.2) - Table001__Page_1[[#This Row],[Unit_Price]] + Table001__Page_1[[#This Row],[Shipping_Fee]], 0)</f>
        <v>0</v>
      </c>
      <c r="N19" s="30"/>
    </row>
    <row r="20" spans="1:14" x14ac:dyDescent="0.35">
      <c r="A20" t="s">
        <v>61</v>
      </c>
      <c r="B20" s="1">
        <v>45861</v>
      </c>
      <c r="C20" t="s">
        <v>22</v>
      </c>
      <c r="D20" t="s">
        <v>12</v>
      </c>
      <c r="E20" t="s">
        <v>31</v>
      </c>
      <c r="F20">
        <v>13</v>
      </c>
      <c r="G20">
        <v>89</v>
      </c>
      <c r="H20" s="10">
        <v>0</v>
      </c>
      <c r="I20" s="8">
        <v>18.989999999999998</v>
      </c>
      <c r="J20" t="s">
        <v>38</v>
      </c>
      <c r="K20" s="8" t="str">
        <f>IF(Table001__Page_1[[#This Row],[Status]]="Shipped",(Table001__Page_1[[#This Row],[Unit_Price]]* Table001__Page_1[[#This Row],[Units]]*1.2) -Table001__Page_1[[#This Row],[Unit_Price]] +Table001__Page_1[[#This Row],[Shipping_Fee]], "")</f>
        <v/>
      </c>
      <c r="L20" s="8">
        <f>IF(OR(Table001__Page_1[[#This Row],[Status]]="Cancelled", Table001__Page_1[[#This Row],[Status]]="Returned"), (Table001__Page_1[[#This Row],[Unit_Price]] * Table001__Page_1[[#This Row],[Units]] * 1.2) - Table001__Page_1[[#This Row],[Unit_Price]] + Table001__Page_1[[#This Row],[Shipping_Fee]], 0)</f>
        <v>1318.3899999999999</v>
      </c>
      <c r="N20" s="30"/>
    </row>
    <row r="21" spans="1:14" x14ac:dyDescent="0.35">
      <c r="A21" t="s">
        <v>69</v>
      </c>
      <c r="B21" s="1">
        <v>45862</v>
      </c>
      <c r="C21" t="s">
        <v>36</v>
      </c>
      <c r="D21" t="s">
        <v>19</v>
      </c>
      <c r="E21" t="s">
        <v>20</v>
      </c>
      <c r="F21">
        <v>3</v>
      </c>
      <c r="G21">
        <v>49.99</v>
      </c>
      <c r="H21" s="10">
        <v>0.05</v>
      </c>
      <c r="I21" s="8">
        <v>19.88</v>
      </c>
      <c r="J21" t="s">
        <v>38</v>
      </c>
      <c r="K21" s="8" t="str">
        <f>IF(Table001__Page_1[[#This Row],[Status]]="Shipped",(Table001__Page_1[[#This Row],[Unit_Price]]* Table001__Page_1[[#This Row],[Units]]*1.2) -Table001__Page_1[[#This Row],[Unit_Price]] +Table001__Page_1[[#This Row],[Shipping_Fee]], "")</f>
        <v/>
      </c>
      <c r="L21" s="8">
        <f>IF(OR(Table001__Page_1[[#This Row],[Status]]="Cancelled", Table001__Page_1[[#This Row],[Status]]="Returned"), (Table001__Page_1[[#This Row],[Unit_Price]] * Table001__Page_1[[#This Row],[Units]] * 1.2) - Table001__Page_1[[#This Row],[Unit_Price]] + Table001__Page_1[[#This Row],[Shipping_Fee]], 0)</f>
        <v>149.85399999999998</v>
      </c>
      <c r="N21" s="30"/>
    </row>
    <row r="22" spans="1:14" x14ac:dyDescent="0.35">
      <c r="A22" t="s">
        <v>51</v>
      </c>
      <c r="B22" s="1">
        <v>45863</v>
      </c>
      <c r="C22" t="s">
        <v>22</v>
      </c>
      <c r="D22" t="s">
        <v>19</v>
      </c>
      <c r="E22" t="s">
        <v>31</v>
      </c>
      <c r="F22">
        <v>4</v>
      </c>
      <c r="G22">
        <v>89</v>
      </c>
      <c r="H22" s="10">
        <v>0.15</v>
      </c>
      <c r="I22" s="8">
        <v>11.07</v>
      </c>
      <c r="J22" t="s">
        <v>14</v>
      </c>
      <c r="K22" s="8">
        <f>IF(Table001__Page_1[[#This Row],[Status]]="Shipped",(Table001__Page_1[[#This Row],[Unit_Price]]* Table001__Page_1[[#This Row],[Units]]*1.2) -Table001__Page_1[[#This Row],[Unit_Price]] +Table001__Page_1[[#This Row],[Shipping_Fee]], "")</f>
        <v>349.27</v>
      </c>
      <c r="L22" s="8">
        <f>IF(OR(Table001__Page_1[[#This Row],[Status]]="Cancelled", Table001__Page_1[[#This Row],[Status]]="Returned"), (Table001__Page_1[[#This Row],[Unit_Price]] * Table001__Page_1[[#This Row],[Units]] * 1.2) - Table001__Page_1[[#This Row],[Unit_Price]] + Table001__Page_1[[#This Row],[Shipping_Fee]], 0)</f>
        <v>0</v>
      </c>
      <c r="N22" s="30"/>
    </row>
    <row r="23" spans="1:14" x14ac:dyDescent="0.35">
      <c r="A23" t="s">
        <v>45</v>
      </c>
      <c r="B23" s="1">
        <v>45867</v>
      </c>
      <c r="C23" t="s">
        <v>36</v>
      </c>
      <c r="D23" t="s">
        <v>19</v>
      </c>
      <c r="E23" t="s">
        <v>31</v>
      </c>
      <c r="F23">
        <v>8</v>
      </c>
      <c r="G23">
        <v>150</v>
      </c>
      <c r="H23" s="10">
        <v>0.05</v>
      </c>
      <c r="I23" s="8">
        <v>8.1</v>
      </c>
      <c r="J23" t="s">
        <v>28</v>
      </c>
      <c r="K23" s="8" t="str">
        <f>IF(Table001__Page_1[[#This Row],[Status]]="Shipped",(Table001__Page_1[[#This Row],[Unit_Price]]* Table001__Page_1[[#This Row],[Units]]*1.2) -Table001__Page_1[[#This Row],[Unit_Price]] +Table001__Page_1[[#This Row],[Shipping_Fee]], "")</f>
        <v/>
      </c>
      <c r="L23" s="8">
        <f>IF(OR(Table001__Page_1[[#This Row],[Status]]="Cancelled", Table001__Page_1[[#This Row],[Status]]="Returned"), (Table001__Page_1[[#This Row],[Unit_Price]] * Table001__Page_1[[#This Row],[Units]] * 1.2) - Table001__Page_1[[#This Row],[Unit_Price]] + Table001__Page_1[[#This Row],[Shipping_Fee]], 0)</f>
        <v>1298.0999999999999</v>
      </c>
      <c r="N23" s="30"/>
    </row>
    <row r="24" spans="1:14" x14ac:dyDescent="0.35">
      <c r="A24" t="s">
        <v>18</v>
      </c>
      <c r="B24" s="1">
        <v>45880</v>
      </c>
      <c r="C24" t="s">
        <v>11</v>
      </c>
      <c r="D24" t="s">
        <v>19</v>
      </c>
      <c r="E24" t="s">
        <v>20</v>
      </c>
      <c r="F24">
        <v>2</v>
      </c>
      <c r="G24">
        <v>49.99</v>
      </c>
      <c r="H24" s="10">
        <v>0.1</v>
      </c>
      <c r="I24" s="8">
        <v>16.059999999999999</v>
      </c>
      <c r="J24" t="s">
        <v>14</v>
      </c>
      <c r="K24" s="8">
        <f>IF(Table001__Page_1[[#This Row],[Status]]="Shipped",(Table001__Page_1[[#This Row],[Unit_Price]]* Table001__Page_1[[#This Row],[Units]]*1.2) -Table001__Page_1[[#This Row],[Unit_Price]] +Table001__Page_1[[#This Row],[Shipping_Fee]], "")</f>
        <v>86.045999999999992</v>
      </c>
      <c r="L24" s="8">
        <f>IF(OR(Table001__Page_1[[#This Row],[Status]]="Cancelled", Table001__Page_1[[#This Row],[Status]]="Returned"), (Table001__Page_1[[#This Row],[Unit_Price]] * Table001__Page_1[[#This Row],[Units]] * 1.2) - Table001__Page_1[[#This Row],[Unit_Price]] + Table001__Page_1[[#This Row],[Shipping_Fee]], 0)</f>
        <v>0</v>
      </c>
      <c r="N24" s="30"/>
    </row>
    <row r="25" spans="1:14" x14ac:dyDescent="0.35">
      <c r="A25" t="s">
        <v>66</v>
      </c>
      <c r="B25" s="1">
        <v>45889</v>
      </c>
      <c r="C25" t="s">
        <v>25</v>
      </c>
      <c r="D25" t="s">
        <v>12</v>
      </c>
      <c r="E25" t="s">
        <v>13</v>
      </c>
      <c r="F25">
        <v>4</v>
      </c>
      <c r="G25">
        <v>129.5</v>
      </c>
      <c r="H25" s="10">
        <v>0.2</v>
      </c>
      <c r="I25" s="8">
        <v>5.82</v>
      </c>
      <c r="J25" t="s">
        <v>14</v>
      </c>
      <c r="K25" s="8">
        <f>IF(Table001__Page_1[[#This Row],[Status]]="Shipped",(Table001__Page_1[[#This Row],[Unit_Price]]* Table001__Page_1[[#This Row],[Units]]*1.2) -Table001__Page_1[[#This Row],[Unit_Price]] +Table001__Page_1[[#This Row],[Shipping_Fee]], "")</f>
        <v>497.92</v>
      </c>
      <c r="L25" s="8">
        <f>IF(OR(Table001__Page_1[[#This Row],[Status]]="Cancelled", Table001__Page_1[[#This Row],[Status]]="Returned"), (Table001__Page_1[[#This Row],[Unit_Price]] * Table001__Page_1[[#This Row],[Units]] * 1.2) - Table001__Page_1[[#This Row],[Unit_Price]] + Table001__Page_1[[#This Row],[Shipping_Fee]], 0)</f>
        <v>0</v>
      </c>
      <c r="N25" s="30"/>
    </row>
    <row r="26" spans="1:14" x14ac:dyDescent="0.35">
      <c r="A26" t="s">
        <v>30</v>
      </c>
      <c r="B26" s="1">
        <v>45896</v>
      </c>
      <c r="C26" t="s">
        <v>22</v>
      </c>
      <c r="D26" t="s">
        <v>12</v>
      </c>
      <c r="E26" t="s">
        <v>31</v>
      </c>
      <c r="F26">
        <v>1</v>
      </c>
      <c r="G26">
        <v>129.5</v>
      </c>
      <c r="H26" s="10">
        <v>0</v>
      </c>
      <c r="I26" s="8">
        <v>5.0999999999999996</v>
      </c>
      <c r="J26" t="s">
        <v>14</v>
      </c>
      <c r="K26" s="8">
        <f>IF(Table001__Page_1[[#This Row],[Status]]="Shipped",(Table001__Page_1[[#This Row],[Unit_Price]]* Table001__Page_1[[#This Row],[Units]]*1.2) -Table001__Page_1[[#This Row],[Unit_Price]] +Table001__Page_1[[#This Row],[Shipping_Fee]], "")</f>
        <v>31.000000000000007</v>
      </c>
      <c r="L26" s="8">
        <f>IF(OR(Table001__Page_1[[#This Row],[Status]]="Cancelled", Table001__Page_1[[#This Row],[Status]]="Returned"), (Table001__Page_1[[#This Row],[Unit_Price]] * Table001__Page_1[[#This Row],[Units]] * 1.2) - Table001__Page_1[[#This Row],[Unit_Price]] + Table001__Page_1[[#This Row],[Shipping_Fee]], 0)</f>
        <v>0</v>
      </c>
      <c r="N26" s="30"/>
    </row>
    <row r="27" spans="1:14" x14ac:dyDescent="0.35">
      <c r="A27" t="s">
        <v>57</v>
      </c>
      <c r="B27" s="1">
        <v>45897</v>
      </c>
      <c r="C27" t="s">
        <v>36</v>
      </c>
      <c r="D27" t="s">
        <v>19</v>
      </c>
      <c r="E27" t="s">
        <v>20</v>
      </c>
      <c r="F27">
        <v>9</v>
      </c>
      <c r="G27">
        <v>199.99</v>
      </c>
      <c r="H27" s="10">
        <v>0.2</v>
      </c>
      <c r="I27" s="8">
        <v>14.15</v>
      </c>
      <c r="J27" t="s">
        <v>14</v>
      </c>
      <c r="K27" s="8">
        <f>IF(Table001__Page_1[[#This Row],[Status]]="Shipped",(Table001__Page_1[[#This Row],[Unit_Price]]* Table001__Page_1[[#This Row],[Units]]*1.2) -Table001__Page_1[[#This Row],[Unit_Price]] +Table001__Page_1[[#This Row],[Shipping_Fee]], "")</f>
        <v>1974.0519999999999</v>
      </c>
      <c r="L27" s="8">
        <f>IF(OR(Table001__Page_1[[#This Row],[Status]]="Cancelled", Table001__Page_1[[#This Row],[Status]]="Returned"), (Table001__Page_1[[#This Row],[Unit_Price]] * Table001__Page_1[[#This Row],[Units]] * 1.2) - Table001__Page_1[[#This Row],[Unit_Price]] + Table001__Page_1[[#This Row],[Shipping_Fee]], 0)</f>
        <v>0</v>
      </c>
      <c r="N27" s="30"/>
    </row>
    <row r="28" spans="1:14" x14ac:dyDescent="0.35">
      <c r="A28" t="s">
        <v>62</v>
      </c>
      <c r="B28" s="1">
        <v>45900</v>
      </c>
      <c r="C28" t="s">
        <v>36</v>
      </c>
      <c r="D28" t="s">
        <v>19</v>
      </c>
      <c r="E28" t="s">
        <v>13</v>
      </c>
      <c r="F28">
        <v>3</v>
      </c>
      <c r="G28">
        <v>49.99</v>
      </c>
      <c r="H28" s="10">
        <v>0</v>
      </c>
      <c r="I28" s="8">
        <v>7.77</v>
      </c>
      <c r="J28" t="s">
        <v>14</v>
      </c>
      <c r="K28" s="8">
        <f>IF(Table001__Page_1[[#This Row],[Status]]="Shipped",(Table001__Page_1[[#This Row],[Unit_Price]]* Table001__Page_1[[#This Row],[Units]]*1.2) -Table001__Page_1[[#This Row],[Unit_Price]] +Table001__Page_1[[#This Row],[Shipping_Fee]], "")</f>
        <v>137.744</v>
      </c>
      <c r="L28" s="8">
        <f>IF(OR(Table001__Page_1[[#This Row],[Status]]="Cancelled", Table001__Page_1[[#This Row],[Status]]="Returned"), (Table001__Page_1[[#This Row],[Unit_Price]] * Table001__Page_1[[#This Row],[Units]] * 1.2) - Table001__Page_1[[#This Row],[Unit_Price]] + Table001__Page_1[[#This Row],[Shipping_Fee]], 0)</f>
        <v>0</v>
      </c>
      <c r="N28" s="30"/>
    </row>
    <row r="29" spans="1:14" x14ac:dyDescent="0.35">
      <c r="A29" t="s">
        <v>32</v>
      </c>
      <c r="B29" s="1">
        <v>45908</v>
      </c>
      <c r="C29" t="s">
        <v>11</v>
      </c>
      <c r="D29" t="s">
        <v>19</v>
      </c>
      <c r="E29" t="s">
        <v>17</v>
      </c>
      <c r="F29">
        <v>3</v>
      </c>
      <c r="G29">
        <v>89</v>
      </c>
      <c r="H29" s="10">
        <v>0.05</v>
      </c>
      <c r="I29" s="8">
        <v>17.559999999999999</v>
      </c>
      <c r="J29" t="s">
        <v>28</v>
      </c>
      <c r="K29" s="8" t="str">
        <f>IF(Table001__Page_1[[#This Row],[Status]]="Shipped",(Table001__Page_1[[#This Row],[Unit_Price]]* Table001__Page_1[[#This Row],[Units]]*1.2) -Table001__Page_1[[#This Row],[Unit_Price]] +Table001__Page_1[[#This Row],[Shipping_Fee]], "")</f>
        <v/>
      </c>
      <c r="L29" s="8">
        <f>IF(OR(Table001__Page_1[[#This Row],[Status]]="Cancelled", Table001__Page_1[[#This Row],[Status]]="Returned"), (Table001__Page_1[[#This Row],[Unit_Price]] * Table001__Page_1[[#This Row],[Units]] * 1.2) - Table001__Page_1[[#This Row],[Unit_Price]] + Table001__Page_1[[#This Row],[Shipping_Fee]], 0)</f>
        <v>248.95999999999998</v>
      </c>
      <c r="N29" s="30"/>
    </row>
    <row r="30" spans="1:14" x14ac:dyDescent="0.35">
      <c r="A30" t="s">
        <v>24</v>
      </c>
      <c r="B30" s="1">
        <v>45911</v>
      </c>
      <c r="C30" t="s">
        <v>25</v>
      </c>
      <c r="D30" t="s">
        <v>19</v>
      </c>
      <c r="E30" t="s">
        <v>26</v>
      </c>
      <c r="F30">
        <v>7</v>
      </c>
      <c r="G30">
        <v>49.99</v>
      </c>
      <c r="H30" s="10">
        <v>0.05</v>
      </c>
      <c r="I30" s="8">
        <v>10.119999999999999</v>
      </c>
      <c r="J30" t="s">
        <v>14</v>
      </c>
      <c r="K30" s="8">
        <f>IF(Table001__Page_1[[#This Row],[Status]]="Shipped",(Table001__Page_1[[#This Row],[Unit_Price]]* Table001__Page_1[[#This Row],[Units]]*1.2) -Table001__Page_1[[#This Row],[Unit_Price]] +Table001__Page_1[[#This Row],[Shipping_Fee]], "")</f>
        <v>380.04599999999999</v>
      </c>
      <c r="L30" s="8">
        <f>IF(OR(Table001__Page_1[[#This Row],[Status]]="Cancelled", Table001__Page_1[[#This Row],[Status]]="Returned"), (Table001__Page_1[[#This Row],[Unit_Price]] * Table001__Page_1[[#This Row],[Units]] * 1.2) - Table001__Page_1[[#This Row],[Unit_Price]] + Table001__Page_1[[#This Row],[Shipping_Fee]], 0)</f>
        <v>0</v>
      </c>
      <c r="N30" s="30"/>
    </row>
    <row r="31" spans="1:14" x14ac:dyDescent="0.35">
      <c r="A31" t="s">
        <v>10</v>
      </c>
      <c r="B31" s="1">
        <v>45911</v>
      </c>
      <c r="C31" t="s">
        <v>11</v>
      </c>
      <c r="D31" t="s">
        <v>12</v>
      </c>
      <c r="E31" t="s">
        <v>13</v>
      </c>
      <c r="F31">
        <v>1</v>
      </c>
      <c r="G31">
        <v>49.99</v>
      </c>
      <c r="H31" s="10">
        <v>0</v>
      </c>
      <c r="I31" s="8">
        <v>7.73</v>
      </c>
      <c r="J31" t="s">
        <v>14</v>
      </c>
      <c r="K31" s="8">
        <f>IF(Table001__Page_1[[#This Row],[Status]]="Shipped",(Table001__Page_1[[#This Row],[Unit_Price]]* Table001__Page_1[[#This Row],[Units]]*1.2) -Table001__Page_1[[#This Row],[Unit_Price]] +Table001__Page_1[[#This Row],[Shipping_Fee]], "")</f>
        <v>17.727999999999998</v>
      </c>
      <c r="L31" s="8">
        <f>IF(OR(Table001__Page_1[[#This Row],[Status]]="Cancelled", Table001__Page_1[[#This Row],[Status]]="Returned"), (Table001__Page_1[[#This Row],[Unit_Price]] * Table001__Page_1[[#This Row],[Units]] * 1.2) - Table001__Page_1[[#This Row],[Unit_Price]] + Table001__Page_1[[#This Row],[Shipping_Fee]], 0)</f>
        <v>0</v>
      </c>
      <c r="N31" s="30"/>
    </row>
    <row r="32" spans="1:14" x14ac:dyDescent="0.35">
      <c r="A32" t="s">
        <v>70</v>
      </c>
      <c r="B32" s="1">
        <v>45914</v>
      </c>
      <c r="C32" t="s">
        <v>22</v>
      </c>
      <c r="D32" t="s">
        <v>19</v>
      </c>
      <c r="E32" t="s">
        <v>31</v>
      </c>
      <c r="F32">
        <v>3</v>
      </c>
      <c r="G32">
        <v>199.99</v>
      </c>
      <c r="H32" s="10">
        <v>0</v>
      </c>
      <c r="I32" s="8">
        <v>10.02</v>
      </c>
      <c r="J32" t="s">
        <v>14</v>
      </c>
      <c r="K32" s="8">
        <f>IF(Table001__Page_1[[#This Row],[Status]]="Shipped",(Table001__Page_1[[#This Row],[Unit_Price]]* Table001__Page_1[[#This Row],[Units]]*1.2) -Table001__Page_1[[#This Row],[Unit_Price]] +Table001__Page_1[[#This Row],[Shipping_Fee]], "")</f>
        <v>529.99400000000003</v>
      </c>
      <c r="L32" s="8">
        <f>IF(OR(Table001__Page_1[[#This Row],[Status]]="Cancelled", Table001__Page_1[[#This Row],[Status]]="Returned"), (Table001__Page_1[[#This Row],[Unit_Price]] * Table001__Page_1[[#This Row],[Units]] * 1.2) - Table001__Page_1[[#This Row],[Unit_Price]] + Table001__Page_1[[#This Row],[Shipping_Fee]], 0)</f>
        <v>0</v>
      </c>
      <c r="N32" s="30"/>
    </row>
    <row r="33" spans="1:14" x14ac:dyDescent="0.35">
      <c r="A33" t="s">
        <v>15</v>
      </c>
      <c r="B33" s="1">
        <v>45915</v>
      </c>
      <c r="C33" t="s">
        <v>11</v>
      </c>
      <c r="D33" t="s">
        <v>16</v>
      </c>
      <c r="E33" t="s">
        <v>17</v>
      </c>
      <c r="F33">
        <v>2</v>
      </c>
      <c r="G33">
        <v>129.5</v>
      </c>
      <c r="H33" s="10">
        <v>0</v>
      </c>
      <c r="I33" s="8">
        <v>19.18</v>
      </c>
      <c r="J33" t="s">
        <v>14</v>
      </c>
      <c r="K33" s="8">
        <f>IF(Table001__Page_1[[#This Row],[Status]]="Shipped",(Table001__Page_1[[#This Row],[Unit_Price]]* Table001__Page_1[[#This Row],[Units]]*1.2) -Table001__Page_1[[#This Row],[Unit_Price]] +Table001__Page_1[[#This Row],[Shipping_Fee]], "")</f>
        <v>200.48000000000002</v>
      </c>
      <c r="L33" s="8">
        <f>IF(OR(Table001__Page_1[[#This Row],[Status]]="Cancelled", Table001__Page_1[[#This Row],[Status]]="Returned"), (Table001__Page_1[[#This Row],[Unit_Price]] * Table001__Page_1[[#This Row],[Units]] * 1.2) - Table001__Page_1[[#This Row],[Unit_Price]] + Table001__Page_1[[#This Row],[Shipping_Fee]], 0)</f>
        <v>0</v>
      </c>
      <c r="N33" s="30"/>
    </row>
    <row r="34" spans="1:14" x14ac:dyDescent="0.35">
      <c r="A34" t="s">
        <v>27</v>
      </c>
      <c r="B34" s="1">
        <v>45930</v>
      </c>
      <c r="C34" t="s">
        <v>22</v>
      </c>
      <c r="D34" t="s">
        <v>12</v>
      </c>
      <c r="E34" t="s">
        <v>26</v>
      </c>
      <c r="F34">
        <v>5</v>
      </c>
      <c r="G34">
        <v>49.99</v>
      </c>
      <c r="H34" s="10">
        <v>0.05</v>
      </c>
      <c r="I34" s="8">
        <v>17.23</v>
      </c>
      <c r="J34" t="s">
        <v>28</v>
      </c>
      <c r="K34" s="8" t="str">
        <f>IF(Table001__Page_1[[#This Row],[Status]]="Shipped",(Table001__Page_1[[#This Row],[Unit_Price]]* Table001__Page_1[[#This Row],[Units]]*1.2) -Table001__Page_1[[#This Row],[Unit_Price]] +Table001__Page_1[[#This Row],[Shipping_Fee]], "")</f>
        <v/>
      </c>
      <c r="L34" s="8">
        <f>IF(OR(Table001__Page_1[[#This Row],[Status]]="Cancelled", Table001__Page_1[[#This Row],[Status]]="Returned"), (Table001__Page_1[[#This Row],[Unit_Price]] * Table001__Page_1[[#This Row],[Units]] * 1.2) - Table001__Page_1[[#This Row],[Unit_Price]] + Table001__Page_1[[#This Row],[Shipping_Fee]], 0)</f>
        <v>267.18</v>
      </c>
      <c r="N34" s="30"/>
    </row>
    <row r="35" spans="1:14" x14ac:dyDescent="0.35">
      <c r="A35" t="s">
        <v>34</v>
      </c>
      <c r="B35" s="1">
        <v>45939</v>
      </c>
      <c r="C35" t="s">
        <v>22</v>
      </c>
      <c r="D35" t="s">
        <v>16</v>
      </c>
      <c r="E35" t="s">
        <v>13</v>
      </c>
      <c r="F35">
        <v>2</v>
      </c>
      <c r="G35">
        <v>129.5</v>
      </c>
      <c r="H35" s="10">
        <v>0</v>
      </c>
      <c r="I35" s="8">
        <v>6.42</v>
      </c>
      <c r="J35" t="s">
        <v>28</v>
      </c>
      <c r="K35" s="8" t="str">
        <f>IF(Table001__Page_1[[#This Row],[Status]]="Shipped",(Table001__Page_1[[#This Row],[Unit_Price]]* Table001__Page_1[[#This Row],[Units]]*1.2) -Table001__Page_1[[#This Row],[Unit_Price]] +Table001__Page_1[[#This Row],[Shipping_Fee]], "")</f>
        <v/>
      </c>
      <c r="L35" s="8">
        <f>IF(OR(Table001__Page_1[[#This Row],[Status]]="Cancelled", Table001__Page_1[[#This Row],[Status]]="Returned"), (Table001__Page_1[[#This Row],[Unit_Price]] * Table001__Page_1[[#This Row],[Units]] * 1.2) - Table001__Page_1[[#This Row],[Unit_Price]] + Table001__Page_1[[#This Row],[Shipping_Fee]], 0)</f>
        <v>187.72</v>
      </c>
      <c r="N35" s="30"/>
    </row>
    <row r="36" spans="1:14" x14ac:dyDescent="0.35">
      <c r="A36" t="s">
        <v>53</v>
      </c>
      <c r="B36" s="1">
        <v>45939</v>
      </c>
      <c r="C36" t="s">
        <v>36</v>
      </c>
      <c r="D36" t="s">
        <v>16</v>
      </c>
      <c r="E36" t="s">
        <v>20</v>
      </c>
      <c r="F36">
        <v>6</v>
      </c>
      <c r="G36">
        <v>49.99</v>
      </c>
      <c r="H36" s="10">
        <v>0.2</v>
      </c>
      <c r="I36" s="8">
        <v>11.53</v>
      </c>
      <c r="J36" t="s">
        <v>38</v>
      </c>
      <c r="K36" s="8" t="str">
        <f>IF(Table001__Page_1[[#This Row],[Status]]="Shipped",(Table001__Page_1[[#This Row],[Unit_Price]]* Table001__Page_1[[#This Row],[Units]]*1.2) -Table001__Page_1[[#This Row],[Unit_Price]] +Table001__Page_1[[#This Row],[Shipping_Fee]], "")</f>
        <v/>
      </c>
      <c r="L36" s="8">
        <f>IF(OR(Table001__Page_1[[#This Row],[Status]]="Cancelled", Table001__Page_1[[#This Row],[Status]]="Returned"), (Table001__Page_1[[#This Row],[Unit_Price]] * Table001__Page_1[[#This Row],[Units]] * 1.2) - Table001__Page_1[[#This Row],[Unit_Price]] + Table001__Page_1[[#This Row],[Shipping_Fee]], 0)</f>
        <v>321.46799999999996</v>
      </c>
      <c r="N36" s="30"/>
    </row>
    <row r="37" spans="1:14" x14ac:dyDescent="0.35">
      <c r="A37" t="s">
        <v>54</v>
      </c>
      <c r="B37" s="1">
        <v>45943</v>
      </c>
      <c r="C37" t="s">
        <v>36</v>
      </c>
      <c r="D37" t="s">
        <v>19</v>
      </c>
      <c r="E37" t="s">
        <v>31</v>
      </c>
      <c r="F37">
        <v>6</v>
      </c>
      <c r="G37">
        <v>199.99</v>
      </c>
      <c r="H37" s="10">
        <v>0</v>
      </c>
      <c r="I37" s="8">
        <v>21.56</v>
      </c>
      <c r="J37" t="s">
        <v>14</v>
      </c>
      <c r="K37" s="8">
        <f>IF(Table001__Page_1[[#This Row],[Status]]="Shipped",(Table001__Page_1[[#This Row],[Unit_Price]]* Table001__Page_1[[#This Row],[Units]]*1.2) -Table001__Page_1[[#This Row],[Unit_Price]] +Table001__Page_1[[#This Row],[Shipping_Fee]], "")</f>
        <v>1261.498</v>
      </c>
      <c r="L37" s="8">
        <f>IF(OR(Table001__Page_1[[#This Row],[Status]]="Cancelled", Table001__Page_1[[#This Row],[Status]]="Returned"), (Table001__Page_1[[#This Row],[Unit_Price]] * Table001__Page_1[[#This Row],[Units]] * 1.2) - Table001__Page_1[[#This Row],[Unit_Price]] + Table001__Page_1[[#This Row],[Shipping_Fee]], 0)</f>
        <v>0</v>
      </c>
      <c r="N37" s="30"/>
    </row>
    <row r="38" spans="1:14" x14ac:dyDescent="0.35">
      <c r="A38" t="s">
        <v>35</v>
      </c>
      <c r="B38" s="1">
        <v>45958</v>
      </c>
      <c r="C38" t="s">
        <v>36</v>
      </c>
      <c r="D38" t="s">
        <v>12</v>
      </c>
      <c r="E38" t="s">
        <v>13</v>
      </c>
      <c r="F38">
        <v>5</v>
      </c>
      <c r="G38">
        <v>49.99</v>
      </c>
      <c r="H38" s="10">
        <v>0.2</v>
      </c>
      <c r="I38" s="8">
        <v>12.94</v>
      </c>
      <c r="J38" t="s">
        <v>14</v>
      </c>
      <c r="K38" s="8">
        <f>IF(Table001__Page_1[[#This Row],[Status]]="Shipped",(Table001__Page_1[[#This Row],[Unit_Price]]* Table001__Page_1[[#This Row],[Units]]*1.2) -Table001__Page_1[[#This Row],[Unit_Price]] +Table001__Page_1[[#This Row],[Shipping_Fee]], "")</f>
        <v>262.89</v>
      </c>
      <c r="L38" s="8">
        <f>IF(OR(Table001__Page_1[[#This Row],[Status]]="Cancelled", Table001__Page_1[[#This Row],[Status]]="Returned"), (Table001__Page_1[[#This Row],[Unit_Price]] * Table001__Page_1[[#This Row],[Units]] * 1.2) - Table001__Page_1[[#This Row],[Unit_Price]] + Table001__Page_1[[#This Row],[Shipping_Fee]], 0)</f>
        <v>0</v>
      </c>
      <c r="N38" s="30"/>
    </row>
    <row r="39" spans="1:14" x14ac:dyDescent="0.35">
      <c r="A39" t="s">
        <v>33</v>
      </c>
      <c r="B39" s="1">
        <v>45960</v>
      </c>
      <c r="C39" t="s">
        <v>25</v>
      </c>
      <c r="D39" t="s">
        <v>19</v>
      </c>
      <c r="E39" t="s">
        <v>13</v>
      </c>
      <c r="F39">
        <v>14</v>
      </c>
      <c r="G39">
        <v>199.99</v>
      </c>
      <c r="H39" s="10">
        <v>0.2</v>
      </c>
      <c r="I39" s="8">
        <v>8.89</v>
      </c>
      <c r="J39" t="s">
        <v>28</v>
      </c>
      <c r="K39" s="8" t="str">
        <f>IF(Table001__Page_1[[#This Row],[Status]]="Shipped",(Table001__Page_1[[#This Row],[Unit_Price]]* Table001__Page_1[[#This Row],[Units]]*1.2) -Table001__Page_1[[#This Row],[Unit_Price]] +Table001__Page_1[[#This Row],[Shipping_Fee]], "")</f>
        <v/>
      </c>
      <c r="L39" s="8">
        <f>IF(OR(Table001__Page_1[[#This Row],[Status]]="Cancelled", Table001__Page_1[[#This Row],[Status]]="Returned"), (Table001__Page_1[[#This Row],[Unit_Price]] * Table001__Page_1[[#This Row],[Units]] * 1.2) - Table001__Page_1[[#This Row],[Unit_Price]] + Table001__Page_1[[#This Row],[Shipping_Fee]], 0)</f>
        <v>3168.7319999999995</v>
      </c>
      <c r="N39" s="30"/>
    </row>
    <row r="40" spans="1:14" x14ac:dyDescent="0.35">
      <c r="A40" t="s">
        <v>40</v>
      </c>
      <c r="B40" s="1">
        <v>45969</v>
      </c>
      <c r="C40" t="s">
        <v>36</v>
      </c>
      <c r="D40" t="s">
        <v>19</v>
      </c>
      <c r="E40" t="s">
        <v>20</v>
      </c>
      <c r="F40">
        <v>6</v>
      </c>
      <c r="G40">
        <v>49.99</v>
      </c>
      <c r="H40" s="10">
        <v>0.05</v>
      </c>
      <c r="I40" s="8">
        <v>5.55</v>
      </c>
      <c r="J40" t="s">
        <v>14</v>
      </c>
      <c r="K40" s="8">
        <f>IF(Table001__Page_1[[#This Row],[Status]]="Shipped",(Table001__Page_1[[#This Row],[Unit_Price]]* Table001__Page_1[[#This Row],[Units]]*1.2) -Table001__Page_1[[#This Row],[Unit_Price]] +Table001__Page_1[[#This Row],[Shipping_Fee]], "")</f>
        <v>315.488</v>
      </c>
      <c r="L40" s="8">
        <f>IF(OR(Table001__Page_1[[#This Row],[Status]]="Cancelled", Table001__Page_1[[#This Row],[Status]]="Returned"), (Table001__Page_1[[#This Row],[Unit_Price]] * Table001__Page_1[[#This Row],[Units]] * 1.2) - Table001__Page_1[[#This Row],[Unit_Price]] + Table001__Page_1[[#This Row],[Shipping_Fee]], 0)</f>
        <v>0</v>
      </c>
      <c r="N40" s="30"/>
    </row>
    <row r="41" spans="1:14" x14ac:dyDescent="0.35">
      <c r="A41" t="s">
        <v>56</v>
      </c>
      <c r="B41" s="1">
        <v>45975</v>
      </c>
      <c r="C41" t="s">
        <v>36</v>
      </c>
      <c r="D41" t="s">
        <v>12</v>
      </c>
      <c r="E41" t="s">
        <v>31</v>
      </c>
      <c r="F41">
        <v>1</v>
      </c>
      <c r="G41">
        <v>49.99</v>
      </c>
      <c r="H41" s="10">
        <v>0.05</v>
      </c>
      <c r="I41" s="8">
        <v>24.31</v>
      </c>
      <c r="J41" t="s">
        <v>14</v>
      </c>
      <c r="K41" s="8">
        <f>IF(Table001__Page_1[[#This Row],[Status]]="Shipped",(Table001__Page_1[[#This Row],[Unit_Price]]* Table001__Page_1[[#This Row],[Units]]*1.2) -Table001__Page_1[[#This Row],[Unit_Price]] +Table001__Page_1[[#This Row],[Shipping_Fee]], "")</f>
        <v>34.307999999999993</v>
      </c>
      <c r="L41" s="8">
        <f>IF(OR(Table001__Page_1[[#This Row],[Status]]="Cancelled", Table001__Page_1[[#This Row],[Status]]="Returned"), (Table001__Page_1[[#This Row],[Unit_Price]] * Table001__Page_1[[#This Row],[Units]] * 1.2) - Table001__Page_1[[#This Row],[Unit_Price]] + Table001__Page_1[[#This Row],[Shipping_Fee]], 0)</f>
        <v>0</v>
      </c>
      <c r="N41" s="30"/>
    </row>
    <row r="42" spans="1:14" x14ac:dyDescent="0.35">
      <c r="A42" t="s">
        <v>46</v>
      </c>
      <c r="B42" s="1">
        <v>45978</v>
      </c>
      <c r="C42" t="s">
        <v>22</v>
      </c>
      <c r="D42" t="s">
        <v>16</v>
      </c>
      <c r="E42" t="s">
        <v>31</v>
      </c>
      <c r="F42">
        <v>11</v>
      </c>
      <c r="G42">
        <v>89</v>
      </c>
      <c r="H42" s="10">
        <v>0.1</v>
      </c>
      <c r="I42" s="8">
        <v>24.64</v>
      </c>
      <c r="J42" t="s">
        <v>14</v>
      </c>
      <c r="K42" s="8">
        <f>IF(Table001__Page_1[[#This Row],[Status]]="Shipped",(Table001__Page_1[[#This Row],[Unit_Price]]* Table001__Page_1[[#This Row],[Units]]*1.2) -Table001__Page_1[[#This Row],[Unit_Price]] +Table001__Page_1[[#This Row],[Shipping_Fee]], "")</f>
        <v>1110.44</v>
      </c>
      <c r="L42" s="8">
        <f>IF(OR(Table001__Page_1[[#This Row],[Status]]="Cancelled", Table001__Page_1[[#This Row],[Status]]="Returned"), (Table001__Page_1[[#This Row],[Unit_Price]] * Table001__Page_1[[#This Row],[Units]] * 1.2) - Table001__Page_1[[#This Row],[Unit_Price]] + Table001__Page_1[[#This Row],[Shipping_Fee]], 0)</f>
        <v>0</v>
      </c>
      <c r="N42" s="30"/>
    </row>
    <row r="43" spans="1:14" x14ac:dyDescent="0.35">
      <c r="A43" t="s">
        <v>49</v>
      </c>
      <c r="B43" s="1">
        <v>45983</v>
      </c>
      <c r="C43" t="s">
        <v>22</v>
      </c>
      <c r="D43" t="s">
        <v>12</v>
      </c>
      <c r="E43" t="s">
        <v>13</v>
      </c>
      <c r="F43">
        <v>8</v>
      </c>
      <c r="G43">
        <v>89</v>
      </c>
      <c r="H43" s="10">
        <v>0</v>
      </c>
      <c r="I43" s="8">
        <v>10.01</v>
      </c>
      <c r="J43" t="s">
        <v>38</v>
      </c>
      <c r="K43" s="8" t="str">
        <f>IF(Table001__Page_1[[#This Row],[Status]]="Shipped",(Table001__Page_1[[#This Row],[Unit_Price]]* Table001__Page_1[[#This Row],[Units]]*1.2) -Table001__Page_1[[#This Row],[Unit_Price]] +Table001__Page_1[[#This Row],[Shipping_Fee]], "")</f>
        <v/>
      </c>
      <c r="L43" s="8">
        <f>IF(OR(Table001__Page_1[[#This Row],[Status]]="Cancelled", Table001__Page_1[[#This Row],[Status]]="Returned"), (Table001__Page_1[[#This Row],[Unit_Price]] * Table001__Page_1[[#This Row],[Units]] * 1.2) - Table001__Page_1[[#This Row],[Unit_Price]] + Table001__Page_1[[#This Row],[Shipping_Fee]], 0)</f>
        <v>775.41</v>
      </c>
      <c r="N43" s="30"/>
    </row>
    <row r="44" spans="1:14" x14ac:dyDescent="0.35">
      <c r="A44" t="s">
        <v>47</v>
      </c>
      <c r="B44" s="1">
        <v>45996</v>
      </c>
      <c r="C44" t="s">
        <v>11</v>
      </c>
      <c r="D44" t="s">
        <v>19</v>
      </c>
      <c r="E44" t="s">
        <v>20</v>
      </c>
      <c r="F44">
        <v>1</v>
      </c>
      <c r="G44">
        <v>49.99</v>
      </c>
      <c r="H44" s="10">
        <v>0</v>
      </c>
      <c r="I44" s="8">
        <v>21.78</v>
      </c>
      <c r="J44" t="s">
        <v>38</v>
      </c>
      <c r="K44" s="8" t="str">
        <f>IF(Table001__Page_1[[#This Row],[Status]]="Shipped",(Table001__Page_1[[#This Row],[Unit_Price]]* Table001__Page_1[[#This Row],[Units]]*1.2) -Table001__Page_1[[#This Row],[Unit_Price]] +Table001__Page_1[[#This Row],[Shipping_Fee]], "")</f>
        <v/>
      </c>
      <c r="L44" s="8">
        <f>IF(OR(Table001__Page_1[[#This Row],[Status]]="Cancelled", Table001__Page_1[[#This Row],[Status]]="Returned"), (Table001__Page_1[[#This Row],[Unit_Price]] * Table001__Page_1[[#This Row],[Units]] * 1.2) - Table001__Page_1[[#This Row],[Unit_Price]] + Table001__Page_1[[#This Row],[Shipping_Fee]], 0)</f>
        <v>31.777999999999999</v>
      </c>
      <c r="N44" s="30"/>
    </row>
    <row r="45" spans="1:14" x14ac:dyDescent="0.35">
      <c r="A45" t="s">
        <v>21</v>
      </c>
      <c r="B45" s="1">
        <v>45997</v>
      </c>
      <c r="C45" t="s">
        <v>22</v>
      </c>
      <c r="D45" t="s">
        <v>16</v>
      </c>
      <c r="E45" t="s">
        <v>20</v>
      </c>
      <c r="F45">
        <v>12</v>
      </c>
      <c r="G45">
        <v>89</v>
      </c>
      <c r="H45" s="10">
        <v>0.1</v>
      </c>
      <c r="I45" s="8">
        <v>10.93</v>
      </c>
      <c r="J45" t="s">
        <v>14</v>
      </c>
      <c r="K45" s="8">
        <f>IF(Table001__Page_1[[#This Row],[Status]]="Shipped",(Table001__Page_1[[#This Row],[Unit_Price]]* Table001__Page_1[[#This Row],[Units]]*1.2) -Table001__Page_1[[#This Row],[Unit_Price]] +Table001__Page_1[[#This Row],[Shipping_Fee]], "")</f>
        <v>1203.53</v>
      </c>
      <c r="L45" s="8">
        <f>IF(OR(Table001__Page_1[[#This Row],[Status]]="Cancelled", Table001__Page_1[[#This Row],[Status]]="Returned"), (Table001__Page_1[[#This Row],[Unit_Price]] * Table001__Page_1[[#This Row],[Units]] * 1.2) - Table001__Page_1[[#This Row],[Unit_Price]] + Table001__Page_1[[#This Row],[Shipping_Fee]], 0)</f>
        <v>0</v>
      </c>
      <c r="N45" s="30"/>
    </row>
    <row r="46" spans="1:14" x14ac:dyDescent="0.35">
      <c r="A46" t="s">
        <v>48</v>
      </c>
      <c r="B46" s="1">
        <v>45998</v>
      </c>
      <c r="C46" t="s">
        <v>36</v>
      </c>
      <c r="D46" t="s">
        <v>12</v>
      </c>
      <c r="E46" t="s">
        <v>31</v>
      </c>
      <c r="F46">
        <v>6</v>
      </c>
      <c r="G46">
        <v>49.99</v>
      </c>
      <c r="H46" s="10">
        <v>0.2</v>
      </c>
      <c r="I46" s="8">
        <v>22.21</v>
      </c>
      <c r="J46" t="s">
        <v>28</v>
      </c>
      <c r="K46" s="8" t="str">
        <f>IF(Table001__Page_1[[#This Row],[Status]]="Shipped",(Table001__Page_1[[#This Row],[Unit_Price]]* Table001__Page_1[[#This Row],[Units]]*1.2) -Table001__Page_1[[#This Row],[Unit_Price]] +Table001__Page_1[[#This Row],[Shipping_Fee]], "")</f>
        <v/>
      </c>
      <c r="L46" s="8">
        <f>IF(OR(Table001__Page_1[[#This Row],[Status]]="Cancelled", Table001__Page_1[[#This Row],[Status]]="Returned"), (Table001__Page_1[[#This Row],[Unit_Price]] * Table001__Page_1[[#This Row],[Units]] * 1.2) - Table001__Page_1[[#This Row],[Unit_Price]] + Table001__Page_1[[#This Row],[Shipping_Fee]], 0)</f>
        <v>332.14799999999997</v>
      </c>
      <c r="N46" s="30"/>
    </row>
    <row r="47" spans="1:14" x14ac:dyDescent="0.35">
      <c r="A47" t="s">
        <v>72</v>
      </c>
      <c r="B47" s="1">
        <v>45999</v>
      </c>
      <c r="C47" t="s">
        <v>25</v>
      </c>
      <c r="D47" t="s">
        <v>19</v>
      </c>
      <c r="E47" t="s">
        <v>31</v>
      </c>
      <c r="F47">
        <v>7</v>
      </c>
      <c r="G47">
        <v>199.99</v>
      </c>
      <c r="H47" s="10">
        <v>0</v>
      </c>
      <c r="I47" s="8">
        <v>6.62</v>
      </c>
      <c r="J47" t="s">
        <v>38</v>
      </c>
      <c r="K47" s="8" t="str">
        <f>IF(Table001__Page_1[[#This Row],[Status]]="Shipped",(Table001__Page_1[[#This Row],[Unit_Price]]* Table001__Page_1[[#This Row],[Units]]*1.2) -Table001__Page_1[[#This Row],[Unit_Price]] +Table001__Page_1[[#This Row],[Shipping_Fee]], "")</f>
        <v/>
      </c>
      <c r="L47" s="8">
        <f>IF(OR(Table001__Page_1[[#This Row],[Status]]="Cancelled", Table001__Page_1[[#This Row],[Status]]="Returned"), (Table001__Page_1[[#This Row],[Unit_Price]] * Table001__Page_1[[#This Row],[Units]] * 1.2) - Table001__Page_1[[#This Row],[Unit_Price]] + Table001__Page_1[[#This Row],[Shipping_Fee]], 0)</f>
        <v>1486.5459999999998</v>
      </c>
      <c r="N47" s="30"/>
    </row>
    <row r="48" spans="1:14" x14ac:dyDescent="0.35">
      <c r="A48" t="s">
        <v>39</v>
      </c>
      <c r="B48" s="1">
        <v>46000</v>
      </c>
      <c r="C48" t="s">
        <v>22</v>
      </c>
      <c r="D48" t="s">
        <v>16</v>
      </c>
      <c r="E48" t="s">
        <v>13</v>
      </c>
      <c r="F48">
        <v>10</v>
      </c>
      <c r="G48">
        <v>199.99</v>
      </c>
      <c r="H48" s="10">
        <v>0</v>
      </c>
      <c r="I48" s="8">
        <v>22.73</v>
      </c>
      <c r="J48" t="s">
        <v>14</v>
      </c>
      <c r="K48" s="8">
        <f>IF(Table001__Page_1[[#This Row],[Status]]="Shipped",(Table001__Page_1[[#This Row],[Unit_Price]]* Table001__Page_1[[#This Row],[Units]]*1.2) -Table001__Page_1[[#This Row],[Unit_Price]] +Table001__Page_1[[#This Row],[Shipping_Fee]], "")</f>
        <v>2222.6200000000003</v>
      </c>
      <c r="L48" s="8">
        <f>IF(OR(Table001__Page_1[[#This Row],[Status]]="Cancelled", Table001__Page_1[[#This Row],[Status]]="Returned"), (Table001__Page_1[[#This Row],[Unit_Price]] * Table001__Page_1[[#This Row],[Units]] * 1.2) - Table001__Page_1[[#This Row],[Unit_Price]] + Table001__Page_1[[#This Row],[Shipping_Fee]], 0)</f>
        <v>0</v>
      </c>
      <c r="N48" s="30"/>
    </row>
    <row r="49" spans="1:14" x14ac:dyDescent="0.35">
      <c r="A49" t="s">
        <v>65</v>
      </c>
      <c r="B49" s="1">
        <v>46014</v>
      </c>
      <c r="C49" t="s">
        <v>22</v>
      </c>
      <c r="D49" t="s">
        <v>12</v>
      </c>
      <c r="E49" t="s">
        <v>26</v>
      </c>
      <c r="F49">
        <v>11</v>
      </c>
      <c r="G49">
        <v>129.5</v>
      </c>
      <c r="H49" s="10">
        <v>0.15</v>
      </c>
      <c r="I49" s="8">
        <v>19.29</v>
      </c>
      <c r="J49" t="s">
        <v>14</v>
      </c>
      <c r="K49" s="8">
        <f>IF(Table001__Page_1[[#This Row],[Status]]="Shipped",(Table001__Page_1[[#This Row],[Unit_Price]]* Table001__Page_1[[#This Row],[Units]]*1.2) -Table001__Page_1[[#This Row],[Unit_Price]] +Table001__Page_1[[#This Row],[Shipping_Fee]], "")</f>
        <v>1599.1899999999998</v>
      </c>
      <c r="L49" s="8">
        <f>IF(OR(Table001__Page_1[[#This Row],[Status]]="Cancelled", Table001__Page_1[[#This Row],[Status]]="Returned"), (Table001__Page_1[[#This Row],[Unit_Price]] * Table001__Page_1[[#This Row],[Units]] * 1.2) - Table001__Page_1[[#This Row],[Unit_Price]] + Table001__Page_1[[#This Row],[Shipping_Fee]], 0)</f>
        <v>0</v>
      </c>
      <c r="N49" s="30"/>
    </row>
    <row r="50" spans="1:14" x14ac:dyDescent="0.35">
      <c r="A50" t="s">
        <v>29</v>
      </c>
      <c r="B50" s="1">
        <v>46023</v>
      </c>
      <c r="C50" t="s">
        <v>25</v>
      </c>
      <c r="D50" t="s">
        <v>16</v>
      </c>
      <c r="E50" t="s">
        <v>17</v>
      </c>
      <c r="F50">
        <v>1</v>
      </c>
      <c r="G50">
        <v>129.5</v>
      </c>
      <c r="H50" s="10">
        <v>0.05</v>
      </c>
      <c r="I50" s="8">
        <v>6.63</v>
      </c>
      <c r="J50" t="s">
        <v>28</v>
      </c>
      <c r="K50" s="8" t="str">
        <f>IF(Table001__Page_1[[#This Row],[Status]]="Shipped",(Table001__Page_1[[#This Row],[Unit_Price]]* Table001__Page_1[[#This Row],[Units]]*1.2) -Table001__Page_1[[#This Row],[Unit_Price]] +Table001__Page_1[[#This Row],[Shipping_Fee]], "")</f>
        <v/>
      </c>
      <c r="L50" s="8">
        <f>IF(OR(Table001__Page_1[[#This Row],[Status]]="Cancelled", Table001__Page_1[[#This Row],[Status]]="Returned"), (Table001__Page_1[[#This Row],[Unit_Price]] * Table001__Page_1[[#This Row],[Units]] * 1.2) - Table001__Page_1[[#This Row],[Unit_Price]] + Table001__Page_1[[#This Row],[Shipping_Fee]], 0)</f>
        <v>32.530000000000008</v>
      </c>
      <c r="N50" s="30"/>
    </row>
    <row r="51" spans="1:14" x14ac:dyDescent="0.35">
      <c r="A51" t="s">
        <v>73</v>
      </c>
      <c r="B51" s="1">
        <v>46026</v>
      </c>
      <c r="C51" t="s">
        <v>36</v>
      </c>
      <c r="D51" t="s">
        <v>19</v>
      </c>
      <c r="E51" t="s">
        <v>31</v>
      </c>
      <c r="F51">
        <v>4</v>
      </c>
      <c r="G51">
        <v>49.99</v>
      </c>
      <c r="H51" s="10">
        <v>0</v>
      </c>
      <c r="I51" s="8">
        <v>13.57</v>
      </c>
      <c r="J51" t="s">
        <v>14</v>
      </c>
      <c r="K51" s="8">
        <f>IF(Table001__Page_1[[#This Row],[Status]]="Shipped",(Table001__Page_1[[#This Row],[Unit_Price]]* Table001__Page_1[[#This Row],[Units]]*1.2) -Table001__Page_1[[#This Row],[Unit_Price]] +Table001__Page_1[[#This Row],[Shipping_Fee]], "")</f>
        <v>203.53199999999998</v>
      </c>
      <c r="L51" s="8">
        <f>IF(OR(Table001__Page_1[[#This Row],[Status]]="Cancelled", Table001__Page_1[[#This Row],[Status]]="Returned"), (Table001__Page_1[[#This Row],[Unit_Price]] * Table001__Page_1[[#This Row],[Units]] * 1.2) - Table001__Page_1[[#This Row],[Unit_Price]] + Table001__Page_1[[#This Row],[Shipping_Fee]], 0)</f>
        <v>0</v>
      </c>
      <c r="N51" s="30"/>
    </row>
    <row r="52" spans="1:14" x14ac:dyDescent="0.35">
      <c r="A52" t="s">
        <v>43</v>
      </c>
      <c r="B52" s="1">
        <v>46044</v>
      </c>
      <c r="C52" t="s">
        <v>11</v>
      </c>
      <c r="D52" t="s">
        <v>19</v>
      </c>
      <c r="E52" t="s">
        <v>31</v>
      </c>
      <c r="F52">
        <v>7</v>
      </c>
      <c r="G52">
        <v>199.99</v>
      </c>
      <c r="H52" s="10">
        <v>0</v>
      </c>
      <c r="I52" s="8">
        <v>18.440000000000001</v>
      </c>
      <c r="J52" t="s">
        <v>28</v>
      </c>
      <c r="K52" s="8" t="str">
        <f>IF(Table001__Page_1[[#This Row],[Status]]="Shipped",(Table001__Page_1[[#This Row],[Unit_Price]]* Table001__Page_1[[#This Row],[Units]]*1.2) -Table001__Page_1[[#This Row],[Unit_Price]] +Table001__Page_1[[#This Row],[Shipping_Fee]], "")</f>
        <v/>
      </c>
      <c r="L52" s="8">
        <f>IF(OR(Table001__Page_1[[#This Row],[Status]]="Cancelled", Table001__Page_1[[#This Row],[Status]]="Returned"), (Table001__Page_1[[#This Row],[Unit_Price]] * Table001__Page_1[[#This Row],[Units]] * 1.2) - Table001__Page_1[[#This Row],[Unit_Price]] + Table001__Page_1[[#This Row],[Shipping_Fee]], 0)</f>
        <v>1498.366</v>
      </c>
      <c r="N52" s="30"/>
    </row>
    <row r="53" spans="1:14" x14ac:dyDescent="0.35">
      <c r="A53" t="s">
        <v>59</v>
      </c>
      <c r="B53" s="1">
        <v>46050</v>
      </c>
      <c r="C53" t="s">
        <v>25</v>
      </c>
      <c r="D53" t="s">
        <v>16</v>
      </c>
      <c r="E53" t="s">
        <v>13</v>
      </c>
      <c r="F53">
        <v>11</v>
      </c>
      <c r="G53">
        <v>89</v>
      </c>
      <c r="H53" s="10">
        <v>0</v>
      </c>
      <c r="I53" s="8">
        <v>8.89</v>
      </c>
      <c r="J53" t="s">
        <v>38</v>
      </c>
      <c r="K53" s="8" t="str">
        <f>IF(Table001__Page_1[[#This Row],[Status]]="Shipped",(Table001__Page_1[[#This Row],[Unit_Price]]* Table001__Page_1[[#This Row],[Units]]*1.2) -Table001__Page_1[[#This Row],[Unit_Price]] +Table001__Page_1[[#This Row],[Shipping_Fee]], "")</f>
        <v/>
      </c>
      <c r="L53" s="8">
        <f>IF(OR(Table001__Page_1[[#This Row],[Status]]="Cancelled", Table001__Page_1[[#This Row],[Status]]="Returned"), (Table001__Page_1[[#This Row],[Unit_Price]] * Table001__Page_1[[#This Row],[Units]] * 1.2) - Table001__Page_1[[#This Row],[Unit_Price]] + Table001__Page_1[[#This Row],[Shipping_Fee]], 0)</f>
        <v>1094.69</v>
      </c>
      <c r="N53" s="30"/>
    </row>
    <row r="54" spans="1:14" x14ac:dyDescent="0.35">
      <c r="A54" t="s">
        <v>52</v>
      </c>
      <c r="B54" s="1">
        <v>46052</v>
      </c>
      <c r="C54" t="s">
        <v>36</v>
      </c>
      <c r="D54" t="s">
        <v>19</v>
      </c>
      <c r="E54" t="s">
        <v>20</v>
      </c>
      <c r="F54">
        <v>2</v>
      </c>
      <c r="G54">
        <v>199.99</v>
      </c>
      <c r="H54" s="10">
        <v>0.1</v>
      </c>
      <c r="I54" s="8">
        <v>15.74</v>
      </c>
      <c r="J54" t="s">
        <v>28</v>
      </c>
      <c r="K54" s="8" t="str">
        <f>IF(Table001__Page_1[[#This Row],[Status]]="Shipped",(Table001__Page_1[[#This Row],[Unit_Price]]* Table001__Page_1[[#This Row],[Units]]*1.2) -Table001__Page_1[[#This Row],[Unit_Price]] +Table001__Page_1[[#This Row],[Shipping_Fee]], "")</f>
        <v/>
      </c>
      <c r="L54" s="8">
        <f>IF(OR(Table001__Page_1[[#This Row],[Status]]="Cancelled", Table001__Page_1[[#This Row],[Status]]="Returned"), (Table001__Page_1[[#This Row],[Unit_Price]] * Table001__Page_1[[#This Row],[Units]] * 1.2) - Table001__Page_1[[#This Row],[Unit_Price]] + Table001__Page_1[[#This Row],[Shipping_Fee]], 0)</f>
        <v>295.726</v>
      </c>
      <c r="N54" s="30"/>
    </row>
    <row r="55" spans="1:14" x14ac:dyDescent="0.35">
      <c r="A55" t="s">
        <v>42</v>
      </c>
      <c r="B55" s="1">
        <v>46061</v>
      </c>
      <c r="C55" t="s">
        <v>36</v>
      </c>
      <c r="D55" t="s">
        <v>12</v>
      </c>
      <c r="E55" t="s">
        <v>13</v>
      </c>
      <c r="F55">
        <v>4</v>
      </c>
      <c r="G55">
        <v>49.99</v>
      </c>
      <c r="H55" s="10">
        <v>0.15</v>
      </c>
      <c r="I55" s="8">
        <v>13.77</v>
      </c>
      <c r="J55" t="s">
        <v>14</v>
      </c>
      <c r="K55" s="8">
        <f>IF(Table001__Page_1[[#This Row],[Status]]="Shipped",(Table001__Page_1[[#This Row],[Unit_Price]]* Table001__Page_1[[#This Row],[Units]]*1.2) -Table001__Page_1[[#This Row],[Unit_Price]] +Table001__Page_1[[#This Row],[Shipping_Fee]], "")</f>
        <v>203.732</v>
      </c>
      <c r="L55" s="8">
        <f>IF(OR(Table001__Page_1[[#This Row],[Status]]="Cancelled", Table001__Page_1[[#This Row],[Status]]="Returned"), (Table001__Page_1[[#This Row],[Unit_Price]] * Table001__Page_1[[#This Row],[Units]] * 1.2) - Table001__Page_1[[#This Row],[Unit_Price]] + Table001__Page_1[[#This Row],[Shipping_Fee]], 0)</f>
        <v>0</v>
      </c>
      <c r="N55" s="30"/>
    </row>
    <row r="56" spans="1:14" x14ac:dyDescent="0.35">
      <c r="A56" t="s">
        <v>37</v>
      </c>
      <c r="B56" s="1">
        <v>46066</v>
      </c>
      <c r="C56" t="s">
        <v>11</v>
      </c>
      <c r="D56" t="s">
        <v>19</v>
      </c>
      <c r="E56" t="s">
        <v>13</v>
      </c>
      <c r="F56">
        <v>12</v>
      </c>
      <c r="G56">
        <v>199.99</v>
      </c>
      <c r="H56" s="10">
        <v>0</v>
      </c>
      <c r="I56" s="8">
        <v>6.02</v>
      </c>
      <c r="J56" t="s">
        <v>38</v>
      </c>
      <c r="K56" s="8" t="str">
        <f>IF(Table001__Page_1[[#This Row],[Status]]="Shipped",(Table001__Page_1[[#This Row],[Unit_Price]]* Table001__Page_1[[#This Row],[Units]]*1.2) -Table001__Page_1[[#This Row],[Unit_Price]] +Table001__Page_1[[#This Row],[Shipping_Fee]], "")</f>
        <v/>
      </c>
      <c r="L56" s="8">
        <f>IF(OR(Table001__Page_1[[#This Row],[Status]]="Cancelled", Table001__Page_1[[#This Row],[Status]]="Returned"), (Table001__Page_1[[#This Row],[Unit_Price]] * Table001__Page_1[[#This Row],[Units]] * 1.2) - Table001__Page_1[[#This Row],[Unit_Price]] + Table001__Page_1[[#This Row],[Shipping_Fee]], 0)</f>
        <v>2685.886</v>
      </c>
      <c r="N56" s="30"/>
    </row>
    <row r="57" spans="1:14" x14ac:dyDescent="0.35">
      <c r="A57" t="s">
        <v>71</v>
      </c>
      <c r="B57" s="1">
        <v>46068</v>
      </c>
      <c r="C57" t="s">
        <v>25</v>
      </c>
      <c r="D57" t="s">
        <v>12</v>
      </c>
      <c r="E57" t="s">
        <v>17</v>
      </c>
      <c r="F57">
        <v>4</v>
      </c>
      <c r="G57">
        <v>49.99</v>
      </c>
      <c r="H57" s="10">
        <v>0</v>
      </c>
      <c r="I57" s="8">
        <v>8.69</v>
      </c>
      <c r="J57" t="s">
        <v>14</v>
      </c>
      <c r="K57" s="8">
        <f>IF(Table001__Page_1[[#This Row],[Status]]="Shipped",(Table001__Page_1[[#This Row],[Unit_Price]]* Table001__Page_1[[#This Row],[Units]]*1.2) -Table001__Page_1[[#This Row],[Unit_Price]] +Table001__Page_1[[#This Row],[Shipping_Fee]], "")</f>
        <v>198.65199999999999</v>
      </c>
      <c r="L57" s="8">
        <f>IF(OR(Table001__Page_1[[#This Row],[Status]]="Cancelled", Table001__Page_1[[#This Row],[Status]]="Returned"), (Table001__Page_1[[#This Row],[Unit_Price]] * Table001__Page_1[[#This Row],[Units]] * 1.2) - Table001__Page_1[[#This Row],[Unit_Price]] + Table001__Page_1[[#This Row],[Shipping_Fee]], 0)</f>
        <v>0</v>
      </c>
      <c r="N57" s="30"/>
    </row>
    <row r="58" spans="1:14" x14ac:dyDescent="0.35">
      <c r="A58" t="s">
        <v>63</v>
      </c>
      <c r="B58" s="1">
        <v>46072</v>
      </c>
      <c r="C58" t="s">
        <v>22</v>
      </c>
      <c r="D58" t="s">
        <v>19</v>
      </c>
      <c r="E58" t="s">
        <v>31</v>
      </c>
      <c r="F58">
        <v>4</v>
      </c>
      <c r="G58">
        <v>150</v>
      </c>
      <c r="H58" s="10">
        <v>0</v>
      </c>
      <c r="I58" s="8">
        <v>7.65</v>
      </c>
      <c r="J58" t="s">
        <v>14</v>
      </c>
      <c r="K58" s="8">
        <f>IF(Table001__Page_1[[#This Row],[Status]]="Shipped",(Table001__Page_1[[#This Row],[Unit_Price]]* Table001__Page_1[[#This Row],[Units]]*1.2) -Table001__Page_1[[#This Row],[Unit_Price]] +Table001__Page_1[[#This Row],[Shipping_Fee]], "")</f>
        <v>577.65</v>
      </c>
      <c r="L58" s="8">
        <f>IF(OR(Table001__Page_1[[#This Row],[Status]]="Cancelled", Table001__Page_1[[#This Row],[Status]]="Returned"), (Table001__Page_1[[#This Row],[Unit_Price]] * Table001__Page_1[[#This Row],[Units]] * 1.2) - Table001__Page_1[[#This Row],[Unit_Price]] + Table001__Page_1[[#This Row],[Shipping_Fee]], 0)</f>
        <v>0</v>
      </c>
      <c r="N58" s="30"/>
    </row>
    <row r="59" spans="1:14" x14ac:dyDescent="0.35">
      <c r="A59" t="s">
        <v>60</v>
      </c>
      <c r="B59" s="1">
        <v>46073</v>
      </c>
      <c r="C59" t="s">
        <v>36</v>
      </c>
      <c r="D59" t="s">
        <v>16</v>
      </c>
      <c r="E59" t="s">
        <v>20</v>
      </c>
      <c r="F59">
        <v>6</v>
      </c>
      <c r="G59">
        <v>49.99</v>
      </c>
      <c r="H59" s="10">
        <v>0</v>
      </c>
      <c r="I59" s="8">
        <v>13.23</v>
      </c>
      <c r="J59" t="s">
        <v>14</v>
      </c>
      <c r="K59" s="8">
        <f>IF(Table001__Page_1[[#This Row],[Status]]="Shipped",(Table001__Page_1[[#This Row],[Unit_Price]]* Table001__Page_1[[#This Row],[Units]]*1.2) -Table001__Page_1[[#This Row],[Unit_Price]] +Table001__Page_1[[#This Row],[Shipping_Fee]], "")</f>
        <v>323.16800000000001</v>
      </c>
      <c r="L59" s="8">
        <f>IF(OR(Table001__Page_1[[#This Row],[Status]]="Cancelled", Table001__Page_1[[#This Row],[Status]]="Returned"), (Table001__Page_1[[#This Row],[Unit_Price]] * Table001__Page_1[[#This Row],[Units]] * 1.2) - Table001__Page_1[[#This Row],[Unit_Price]] + Table001__Page_1[[#This Row],[Shipping_Fee]], 0)</f>
        <v>0</v>
      </c>
      <c r="N59" s="30"/>
    </row>
    <row r="60" spans="1:14" ht="15" thickBot="1" x14ac:dyDescent="0.4">
      <c r="A60" s="5" t="s">
        <v>76</v>
      </c>
      <c r="B60" s="6"/>
      <c r="C60" s="5"/>
      <c r="D60" s="5"/>
      <c r="E60" s="5"/>
      <c r="F60" s="5">
        <f>SUM(F51:F59)</f>
        <v>54</v>
      </c>
      <c r="G60" s="5">
        <f>SUM(G51:G59)</f>
        <v>1038.93</v>
      </c>
      <c r="H60" s="11"/>
      <c r="I60" s="12">
        <f>SUM(I51:I59)</f>
        <v>106.00000000000001</v>
      </c>
      <c r="J60" s="5"/>
      <c r="K60" s="9">
        <f>SUM(K51:K59)</f>
        <v>1506.7339999999999</v>
      </c>
      <c r="L60" s="8">
        <f>SUM(L51:L59)</f>
        <v>5574.6679999999997</v>
      </c>
    </row>
    <row r="61" spans="1:14" ht="15" thickTop="1" x14ac:dyDescent="0.35"/>
  </sheetData>
  <scenarios current="0" show="0">
    <scenario name="5% Discount " locked="1" count="1" user="HP" comment="Created by HP on 04-03-2026">
      <inputCells r="H10" val="0.05" numFmtId="9"/>
    </scenario>
  </scenarios>
  <phoneticPr fontId="5" type="noConversion"/>
  <conditionalFormatting sqref="F10:F59">
    <cfRule type="top10" dxfId="2" priority="1" percent="1" rank="10"/>
  </conditionalFormatting>
  <conditionalFormatting sqref="G10:G59">
    <cfRule type="top10" dxfId="1" priority="3" percent="1" rank="10"/>
  </conditionalFormatting>
  <conditionalFormatting sqref="I10:I59">
    <cfRule type="top10" dxfId="0" priority="2" percent="1" rank="10"/>
  </conditionalFormatting>
  <conditionalFormatting sqref="K10:K59">
    <cfRule type="dataBar" priority="8">
      <dataBar>
        <cfvo type="min"/>
        <cfvo type="max"/>
        <color rgb="FF638EC6"/>
      </dataBar>
      <extLst>
        <ext xmlns:x14="http://schemas.microsoft.com/office/spreadsheetml/2009/9/main" uri="{B025F937-C7B1-47D3-B67F-A62EFF666E3E}">
          <x14:id>{BF7EE452-7C10-43D6-87BE-A628868F5867}</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7EE452-7C10-43D6-87BE-A628868F5867}">
            <x14:dataBar minLength="0" maxLength="100" gradient="0">
              <x14:cfvo type="autoMin"/>
              <x14:cfvo type="autoMax"/>
              <x14:negativeFillColor rgb="FFFF0000"/>
              <x14:axisColor rgb="FF000000"/>
            </x14:dataBar>
          </x14:cfRule>
          <xm:sqref>K10:K59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6B68-5B2B-4CE5-8AA1-3C81AAF60697}">
  <dimension ref="A3:H78"/>
  <sheetViews>
    <sheetView showGridLines="0" topLeftCell="B5" zoomScale="69" workbookViewId="0">
      <selection activeCell="I14" sqref="I14"/>
    </sheetView>
  </sheetViews>
  <sheetFormatPr defaultRowHeight="14.5" x14ac:dyDescent="0.35"/>
  <cols>
    <col min="1" max="2" width="14.453125" bestFit="1" customWidth="1"/>
    <col min="3" max="3" width="41.6328125" bestFit="1" customWidth="1"/>
    <col min="4" max="4" width="16.6328125" bestFit="1" customWidth="1"/>
    <col min="5" max="5" width="10.7265625" bestFit="1" customWidth="1"/>
    <col min="6" max="6" width="11.7265625" bestFit="1" customWidth="1"/>
    <col min="7" max="7" width="10.7265625" bestFit="1" customWidth="1"/>
    <col min="8" max="8" width="11.26953125" bestFit="1" customWidth="1"/>
    <col min="9" max="9" width="33.90625" bestFit="1" customWidth="1"/>
    <col min="10" max="10" width="11.7265625" bestFit="1" customWidth="1"/>
    <col min="11" max="11" width="33.90625" bestFit="1" customWidth="1"/>
    <col min="12" max="12" width="16.7265625" bestFit="1" customWidth="1"/>
    <col min="13" max="13" width="39" bestFit="1" customWidth="1"/>
  </cols>
  <sheetData>
    <row r="3" spans="1:8" x14ac:dyDescent="0.35">
      <c r="A3" s="22" t="s">
        <v>82</v>
      </c>
      <c r="B3" s="22" t="s">
        <v>83</v>
      </c>
      <c r="G3" s="22" t="s">
        <v>100</v>
      </c>
      <c r="H3" t="s">
        <v>82</v>
      </c>
    </row>
    <row r="4" spans="1:8" x14ac:dyDescent="0.35">
      <c r="A4" s="22" t="s">
        <v>4</v>
      </c>
      <c r="B4" s="24" t="s">
        <v>12</v>
      </c>
      <c r="C4" s="24" t="s">
        <v>16</v>
      </c>
      <c r="D4" s="24" t="s">
        <v>19</v>
      </c>
      <c r="E4" s="24" t="s">
        <v>81</v>
      </c>
      <c r="G4" s="23" t="s">
        <v>89</v>
      </c>
      <c r="H4">
        <v>15678.052</v>
      </c>
    </row>
    <row r="5" spans="1:8" x14ac:dyDescent="0.35">
      <c r="A5" s="23" t="s">
        <v>31</v>
      </c>
      <c r="B5" s="28">
        <v>65.307999999999993</v>
      </c>
      <c r="C5" s="27">
        <v>1110.44</v>
      </c>
      <c r="D5" s="26">
        <v>4681.6340000000009</v>
      </c>
      <c r="E5">
        <v>5857.3820000000014</v>
      </c>
      <c r="G5" s="29" t="s">
        <v>93</v>
      </c>
      <c r="H5">
        <v>1253.3380000000002</v>
      </c>
    </row>
    <row r="6" spans="1:8" x14ac:dyDescent="0.35">
      <c r="A6" s="23" t="s">
        <v>17</v>
      </c>
      <c r="B6" s="28">
        <v>198.65199999999999</v>
      </c>
      <c r="C6" s="27">
        <v>651.26</v>
      </c>
      <c r="D6" s="26">
        <v>0</v>
      </c>
      <c r="E6">
        <v>849.91200000000003</v>
      </c>
      <c r="G6" s="29" t="s">
        <v>94</v>
      </c>
      <c r="H6">
        <v>2559.7400000000002</v>
      </c>
    </row>
    <row r="7" spans="1:8" x14ac:dyDescent="0.35">
      <c r="A7" s="23" t="s">
        <v>20</v>
      </c>
      <c r="B7" s="28">
        <v>0</v>
      </c>
      <c r="C7" s="27">
        <v>1526.6979999999999</v>
      </c>
      <c r="D7" s="26">
        <v>2375.5859999999998</v>
      </c>
      <c r="E7">
        <v>3902.2839999999997</v>
      </c>
      <c r="G7" s="29" t="s">
        <v>95</v>
      </c>
      <c r="H7">
        <v>2726.7619999999997</v>
      </c>
    </row>
    <row r="8" spans="1:8" x14ac:dyDescent="0.35">
      <c r="A8" s="23" t="s">
        <v>13</v>
      </c>
      <c r="B8" s="28">
        <v>2235.6080000000002</v>
      </c>
      <c r="C8" s="27">
        <v>2222.6200000000003</v>
      </c>
      <c r="D8" s="26">
        <v>137.744</v>
      </c>
      <c r="E8">
        <v>4595.9720000000007</v>
      </c>
      <c r="G8" s="29" t="s">
        <v>96</v>
      </c>
      <c r="H8">
        <v>1128.248</v>
      </c>
    </row>
    <row r="9" spans="1:8" x14ac:dyDescent="0.35">
      <c r="A9" s="23" t="s">
        <v>26</v>
      </c>
      <c r="B9" s="28">
        <v>1599.1899999999998</v>
      </c>
      <c r="C9" s="27"/>
      <c r="D9" s="26">
        <v>380.04599999999999</v>
      </c>
      <c r="E9">
        <v>1979.2359999999999</v>
      </c>
      <c r="G9" s="29" t="s">
        <v>97</v>
      </c>
      <c r="H9">
        <v>1524.3879999999999</v>
      </c>
    </row>
    <row r="10" spans="1:8" x14ac:dyDescent="0.35">
      <c r="A10" s="23" t="s">
        <v>81</v>
      </c>
      <c r="B10">
        <v>4098.7579999999998</v>
      </c>
      <c r="C10">
        <v>5511.018</v>
      </c>
      <c r="D10">
        <v>7575.0100000000011</v>
      </c>
      <c r="E10">
        <v>17184.786000000004</v>
      </c>
      <c r="G10" s="29" t="s">
        <v>98</v>
      </c>
      <c r="H10">
        <v>1460.2360000000001</v>
      </c>
    </row>
    <row r="11" spans="1:8" x14ac:dyDescent="0.35">
      <c r="G11" s="29" t="s">
        <v>99</v>
      </c>
      <c r="H11">
        <v>5025.34</v>
      </c>
    </row>
    <row r="12" spans="1:8" x14ac:dyDescent="0.35">
      <c r="G12" s="23" t="s">
        <v>90</v>
      </c>
      <c r="H12">
        <v>1506.7339999999999</v>
      </c>
    </row>
    <row r="13" spans="1:8" x14ac:dyDescent="0.35">
      <c r="G13" s="29" t="s">
        <v>91</v>
      </c>
      <c r="H13">
        <v>203.53199999999998</v>
      </c>
    </row>
    <row r="14" spans="1:8" x14ac:dyDescent="0.35">
      <c r="G14" s="29" t="s">
        <v>92</v>
      </c>
      <c r="H14">
        <v>1303.202</v>
      </c>
    </row>
    <row r="15" spans="1:8" x14ac:dyDescent="0.35">
      <c r="G15" s="23" t="s">
        <v>81</v>
      </c>
      <c r="H15">
        <v>17184.786</v>
      </c>
    </row>
    <row r="17" spans="1:4" x14ac:dyDescent="0.35">
      <c r="A17" s="22" t="s">
        <v>100</v>
      </c>
      <c r="B17" t="s">
        <v>101</v>
      </c>
      <c r="C17" t="s">
        <v>84</v>
      </c>
      <c r="D17" t="s">
        <v>102</v>
      </c>
    </row>
    <row r="18" spans="1:4" x14ac:dyDescent="0.35">
      <c r="A18" s="23" t="s">
        <v>89</v>
      </c>
      <c r="B18">
        <v>746.57390476190471</v>
      </c>
      <c r="C18">
        <v>112.68249999999992</v>
      </c>
      <c r="D18">
        <v>6.5</v>
      </c>
    </row>
    <row r="19" spans="1:4" x14ac:dyDescent="0.35">
      <c r="A19" s="29" t="s">
        <v>103</v>
      </c>
      <c r="B19">
        <v>1253.3380000000002</v>
      </c>
      <c r="C19">
        <v>153.696</v>
      </c>
      <c r="D19">
        <v>9.1999999999999993</v>
      </c>
    </row>
    <row r="20" spans="1:4" x14ac:dyDescent="0.35">
      <c r="A20" s="29" t="s">
        <v>104</v>
      </c>
      <c r="B20">
        <v>534.5625</v>
      </c>
      <c r="C20">
        <v>105.64599999999999</v>
      </c>
      <c r="D20">
        <v>5.4</v>
      </c>
    </row>
    <row r="21" spans="1:4" x14ac:dyDescent="0.35">
      <c r="A21" s="29" t="s">
        <v>105</v>
      </c>
      <c r="B21">
        <v>1001.2455000000001</v>
      </c>
      <c r="C21">
        <v>108.39333333333335</v>
      </c>
      <c r="D21">
        <v>7.0666666666666664</v>
      </c>
    </row>
    <row r="22" spans="1:4" x14ac:dyDescent="0.35">
      <c r="A22" s="23" t="s">
        <v>90</v>
      </c>
      <c r="B22">
        <v>301.34679999999997</v>
      </c>
      <c r="C22">
        <v>116.843</v>
      </c>
      <c r="D22">
        <v>5.5</v>
      </c>
    </row>
    <row r="23" spans="1:4" x14ac:dyDescent="0.35">
      <c r="A23" s="29" t="s">
        <v>106</v>
      </c>
      <c r="B23">
        <v>301.34679999999997</v>
      </c>
      <c r="C23">
        <v>116.843</v>
      </c>
      <c r="D23">
        <v>5.5</v>
      </c>
    </row>
    <row r="24" spans="1:4" x14ac:dyDescent="0.35">
      <c r="A24" s="23" t="s">
        <v>81</v>
      </c>
      <c r="B24">
        <v>660.95330769230759</v>
      </c>
      <c r="C24">
        <v>113.5145999999999</v>
      </c>
      <c r="D24">
        <v>6.3</v>
      </c>
    </row>
    <row r="30" spans="1:4" x14ac:dyDescent="0.35">
      <c r="A30" s="22" t="s">
        <v>4</v>
      </c>
      <c r="B30" t="s">
        <v>85</v>
      </c>
      <c r="C30" t="s">
        <v>87</v>
      </c>
      <c r="D30" t="s">
        <v>86</v>
      </c>
    </row>
    <row r="31" spans="1:4" x14ac:dyDescent="0.35">
      <c r="A31" s="23" t="s">
        <v>31</v>
      </c>
      <c r="B31">
        <v>128.39533333333333</v>
      </c>
      <c r="C31" s="8">
        <v>15.215333333333332</v>
      </c>
      <c r="D31">
        <v>650.82022222222236</v>
      </c>
    </row>
    <row r="32" spans="1:4" x14ac:dyDescent="0.35">
      <c r="A32" s="23" t="s">
        <v>17</v>
      </c>
      <c r="B32">
        <v>95.998333333333335</v>
      </c>
      <c r="C32" s="8">
        <v>11.378333333333332</v>
      </c>
      <c r="D32">
        <v>283.30400000000003</v>
      </c>
    </row>
    <row r="33" spans="1:4" x14ac:dyDescent="0.35">
      <c r="A33" s="23" t="s">
        <v>20</v>
      </c>
      <c r="B33">
        <v>93.89200000000001</v>
      </c>
      <c r="C33" s="8">
        <v>14.762</v>
      </c>
      <c r="D33">
        <v>780.45679999999993</v>
      </c>
    </row>
    <row r="34" spans="1:4" x14ac:dyDescent="0.35">
      <c r="A34" s="23" t="s">
        <v>13</v>
      </c>
      <c r="B34">
        <v>117.37846153846155</v>
      </c>
      <c r="C34" s="8">
        <v>10.566923076923077</v>
      </c>
      <c r="D34">
        <v>656.56742857142865</v>
      </c>
    </row>
    <row r="35" spans="1:4" x14ac:dyDescent="0.35">
      <c r="A35" s="23" t="s">
        <v>26</v>
      </c>
      <c r="B35">
        <v>118.16166666666668</v>
      </c>
      <c r="C35" s="8">
        <v>16.455000000000002</v>
      </c>
      <c r="D35">
        <v>989.61799999999994</v>
      </c>
    </row>
    <row r="36" spans="1:4" x14ac:dyDescent="0.35">
      <c r="A36" s="23" t="s">
        <v>81</v>
      </c>
      <c r="B36">
        <v>113.51459999999992</v>
      </c>
      <c r="C36" s="8">
        <v>13.604399999999998</v>
      </c>
      <c r="D36">
        <v>660.9533076923077</v>
      </c>
    </row>
    <row r="53" spans="1:3" x14ac:dyDescent="0.35">
      <c r="A53" s="22" t="s">
        <v>4</v>
      </c>
      <c r="B53" t="s">
        <v>82</v>
      </c>
      <c r="C53" t="s">
        <v>88</v>
      </c>
    </row>
    <row r="54" spans="1:3" x14ac:dyDescent="0.35">
      <c r="A54" s="23" t="s">
        <v>28</v>
      </c>
      <c r="B54">
        <v>0</v>
      </c>
      <c r="C54">
        <v>14010.327999999998</v>
      </c>
    </row>
    <row r="55" spans="1:3" x14ac:dyDescent="0.35">
      <c r="A55" s="23" t="s">
        <v>38</v>
      </c>
      <c r="B55">
        <v>0</v>
      </c>
      <c r="C55">
        <v>11194.352000000001</v>
      </c>
    </row>
    <row r="56" spans="1:3" x14ac:dyDescent="0.35">
      <c r="A56" s="23" t="s">
        <v>14</v>
      </c>
      <c r="B56">
        <v>17184.785999999996</v>
      </c>
      <c r="C56">
        <v>0</v>
      </c>
    </row>
    <row r="57" spans="1:3" x14ac:dyDescent="0.35">
      <c r="A57" s="23" t="s">
        <v>81</v>
      </c>
      <c r="B57">
        <v>17184.785999999996</v>
      </c>
      <c r="C57">
        <v>25204.68</v>
      </c>
    </row>
    <row r="72" spans="1:2" x14ac:dyDescent="0.35">
      <c r="A72" s="22" t="s">
        <v>4</v>
      </c>
      <c r="B72" t="s">
        <v>84</v>
      </c>
    </row>
    <row r="73" spans="1:2" x14ac:dyDescent="0.35">
      <c r="A73" s="23" t="s">
        <v>31</v>
      </c>
      <c r="B73">
        <v>128.39533333333333</v>
      </c>
    </row>
    <row r="74" spans="1:2" x14ac:dyDescent="0.35">
      <c r="A74" s="23" t="s">
        <v>17</v>
      </c>
      <c r="B74">
        <v>95.998333333333335</v>
      </c>
    </row>
    <row r="75" spans="1:2" x14ac:dyDescent="0.35">
      <c r="A75" s="23" t="s">
        <v>20</v>
      </c>
      <c r="B75">
        <v>93.89200000000001</v>
      </c>
    </row>
    <row r="76" spans="1:2" x14ac:dyDescent="0.35">
      <c r="A76" s="23" t="s">
        <v>13</v>
      </c>
      <c r="B76">
        <v>117.37846153846155</v>
      </c>
    </row>
    <row r="77" spans="1:2" x14ac:dyDescent="0.35">
      <c r="A77" s="23" t="s">
        <v>26</v>
      </c>
      <c r="B77">
        <v>118.16166666666668</v>
      </c>
    </row>
    <row r="78" spans="1:2" x14ac:dyDescent="0.35">
      <c r="A78" s="23" t="s">
        <v>81</v>
      </c>
      <c r="B78">
        <v>113.51459999999992</v>
      </c>
    </row>
  </sheetData>
  <phoneticPr fontId="5" type="noConversion"/>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4E590-32EC-446B-B764-6A87E686CAC7}">
  <dimension ref="A1:A9"/>
  <sheetViews>
    <sheetView showGridLines="0" tabSelected="1" topLeftCell="A2" zoomScale="25" zoomScaleNormal="10" workbookViewId="0">
      <selection activeCell="BV55" sqref="BV55"/>
    </sheetView>
  </sheetViews>
  <sheetFormatPr defaultRowHeight="14.5" x14ac:dyDescent="0.35"/>
  <cols>
    <col min="1" max="16384" width="8.7265625" style="25"/>
  </cols>
  <sheetData>
    <row r="1" s="3" customFormat="1" x14ac:dyDescent="0.35"/>
    <row r="2" s="3" customFormat="1" x14ac:dyDescent="0.35"/>
    <row r="3" s="3" customFormat="1" x14ac:dyDescent="0.35"/>
    <row r="4" s="3" customFormat="1" x14ac:dyDescent="0.35"/>
    <row r="5" s="3" customFormat="1" x14ac:dyDescent="0.35"/>
    <row r="6" s="3" customFormat="1" x14ac:dyDescent="0.35"/>
    <row r="7" s="3" customFormat="1" x14ac:dyDescent="0.35"/>
    <row r="8" s="3" customFormat="1" x14ac:dyDescent="0.35"/>
    <row r="9" s="3"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E56110-9A0C-4526-B9BC-4EC1681507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Tables</vt:lpstr>
      <vt:lpstr>Past Data Visualisec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Garv Sharma</dc:creator>
  <cp:lastModifiedBy>Garv Sharma</cp:lastModifiedBy>
  <dcterms:created xsi:type="dcterms:W3CDTF">2026-03-02T21:40:27Z</dcterms:created>
  <dcterms:modified xsi:type="dcterms:W3CDTF">2026-07-29T22:00:49Z</dcterms:modified>
</cp:coreProperties>
</file>